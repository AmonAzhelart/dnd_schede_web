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ilità" sheetId="1" r:id="rId4"/>
    <sheet state="visible" name="Generali" sheetId="2" r:id="rId5"/>
    <sheet state="visible" name="Equip" sheetId="3" r:id="rId6"/>
    <sheet state="visible" name="Capacità" sheetId="4" r:id="rId7"/>
    <sheet state="visible" name="Incantesimi" sheetId="5" r:id="rId8"/>
    <sheet state="visible" name="Utility" sheetId="6" r:id="rId9"/>
  </sheets>
  <definedNames/>
  <calcPr/>
  <extLst>
    <ext uri="GoogleSheetsCustomDataVersion2">
      <go:sheetsCustomData xmlns:go="http://customooxmlschemas.google.com/" r:id="rId10" roundtripDataChecksum="J/katxLI08a2SzM/ruLmR5vhxk15KZZmTqX0ZJ6GYq4="/>
    </ext>
  </extLst>
</workbook>
</file>

<file path=xl/sharedStrings.xml><?xml version="1.0" encoding="utf-8"?>
<sst xmlns="http://schemas.openxmlformats.org/spreadsheetml/2006/main" count="674" uniqueCount="396">
  <si>
    <t xml:space="preserve">Punti Abilità Tot: </t>
  </si>
  <si>
    <t>Punti Abilità Disp:</t>
  </si>
  <si>
    <t>TALENTI</t>
  </si>
  <si>
    <t>TRATTI RAZZIALI</t>
  </si>
  <si>
    <t>Nome abilità</t>
  </si>
  <si>
    <t>Classe</t>
  </si>
  <si>
    <t>CI (classe incrociata)</t>
  </si>
  <si>
    <t>Caratt.</t>
  </si>
  <si>
    <t>Mod.</t>
  </si>
  <si>
    <t>Gradi</t>
  </si>
  <si>
    <t>Vari</t>
  </si>
  <si>
    <t>TOT</t>
  </si>
  <si>
    <t xml:space="preserve">talento </t>
  </si>
  <si>
    <t>manuale</t>
  </si>
  <si>
    <t>livello</t>
  </si>
  <si>
    <t xml:space="preserve">difetto: rinunciato al famiglio per 1 talento in più
Sangue Caldo
Fiato Corto
</t>
  </si>
  <si>
    <t>Acrobazia</t>
  </si>
  <si>
    <t xml:space="preserve">DES </t>
  </si>
  <si>
    <t>Falsificare</t>
  </si>
  <si>
    <t>INT●</t>
  </si>
  <si>
    <t>Mago di collegio (P. arcanista p. 181)</t>
  </si>
  <si>
    <t>1 Mago</t>
  </si>
  <si>
    <t>Addestrare animali</t>
  </si>
  <si>
    <t>CAR</t>
  </si>
  <si>
    <t>Guarire</t>
  </si>
  <si>
    <t>SAG●</t>
  </si>
  <si>
    <t>Evocazione Rapida</t>
  </si>
  <si>
    <t>Artigianato 1</t>
  </si>
  <si>
    <t>x</t>
  </si>
  <si>
    <t>Intimidire</t>
  </si>
  <si>
    <t>CAR●</t>
  </si>
  <si>
    <t>Aumentare Evocazione</t>
  </si>
  <si>
    <t>Artigianato 2</t>
  </si>
  <si>
    <t>Intrattenere danza</t>
  </si>
  <si>
    <t>Artigianato 3</t>
  </si>
  <si>
    <t>Intrattenere 2</t>
  </si>
  <si>
    <t>Artigianato 4</t>
  </si>
  <si>
    <t>Intrattenere 3</t>
  </si>
  <si>
    <t>Artigianato 5</t>
  </si>
  <si>
    <t>Intrattenere 4</t>
  </si>
  <si>
    <t>Artigianato 6</t>
  </si>
  <si>
    <t>Intrattenere 5</t>
  </si>
  <si>
    <t>Artista della fuga</t>
  </si>
  <si>
    <t>DES●</t>
  </si>
  <si>
    <t>Intrattenere 6</t>
  </si>
  <si>
    <t>Ascoltare</t>
  </si>
  <si>
    <t>SAG</t>
  </si>
  <si>
    <t>Muoversi Silenziosamente</t>
  </si>
  <si>
    <t>Camuffare</t>
  </si>
  <si>
    <t>Nascondersi</t>
  </si>
  <si>
    <t>Cavalcare</t>
  </si>
  <si>
    <t>Nuotare</t>
  </si>
  <si>
    <t>FOR●</t>
  </si>
  <si>
    <t>Cercare</t>
  </si>
  <si>
    <t>Osservare</t>
  </si>
  <si>
    <t>Concentrazione</t>
  </si>
  <si>
    <t>COS●</t>
  </si>
  <si>
    <t>Parlare linguaggi</t>
  </si>
  <si>
    <t>-</t>
  </si>
  <si>
    <t>Conoscenze locali</t>
  </si>
  <si>
    <t>INT</t>
  </si>
  <si>
    <t>Percepire Intenzioni</t>
  </si>
  <si>
    <t>Con. arcane</t>
  </si>
  <si>
    <t>Professione 1</t>
  </si>
  <si>
    <t>Con. architettura</t>
  </si>
  <si>
    <t>Professione 2</t>
  </si>
  <si>
    <t>Con. dungeon</t>
  </si>
  <si>
    <t>Raccogliere informazioni</t>
  </si>
  <si>
    <t>Con. geografia</t>
  </si>
  <si>
    <t>Raggirare</t>
  </si>
  <si>
    <t>Con. natura</t>
  </si>
  <si>
    <t>Rapidità di mano</t>
  </si>
  <si>
    <t>DES</t>
  </si>
  <si>
    <t>Con. nobiltà e regalità</t>
  </si>
  <si>
    <t>Saltare</t>
  </si>
  <si>
    <t>Con. piani</t>
  </si>
  <si>
    <t>Sapienza magica</t>
  </si>
  <si>
    <t>Con. religioni</t>
  </si>
  <si>
    <t>Scalare</t>
  </si>
  <si>
    <t>Con. storia</t>
  </si>
  <si>
    <t>Scassinare Serrature</t>
  </si>
  <si>
    <t>Conoscenze 11</t>
  </si>
  <si>
    <t>Sopravvivenza</t>
  </si>
  <si>
    <t>Conoscenze 12</t>
  </si>
  <si>
    <t>Utilizzare corde</t>
  </si>
  <si>
    <t>Decifrare Scritture</t>
  </si>
  <si>
    <t>Utilizzare oggetti magici</t>
  </si>
  <si>
    <t>Diplomazia</t>
  </si>
  <si>
    <t>Valutare</t>
  </si>
  <si>
    <t>Disattivare Congegni</t>
  </si>
  <si>
    <t>Totale Punti Abilità</t>
  </si>
  <si>
    <t>Equilibrio</t>
  </si>
  <si>
    <t xml:space="preserve"> ● denota un'abilità che può essere usata senza addestramento</t>
  </si>
  <si>
    <t>* se presente penalità alla prova applicata. (Doppia per nuotare). Se abilità di classe, scrivere X</t>
  </si>
  <si>
    <t>DATI DEL PERSONAGGIO</t>
  </si>
  <si>
    <t>CARATTERISTICHE</t>
  </si>
  <si>
    <t>PUNTI FERITA</t>
  </si>
  <si>
    <t>Nome del Personaggio:</t>
  </si>
  <si>
    <t>Kaelen Vaelen</t>
  </si>
  <si>
    <t>Valore</t>
  </si>
  <si>
    <t>Modif.</t>
  </si>
  <si>
    <t>Buff&amp;Debuff temporanei</t>
  </si>
  <si>
    <t>Modificatori di condizione</t>
  </si>
  <si>
    <t>p. ferita totali</t>
  </si>
  <si>
    <t>pf da talenti</t>
  </si>
  <si>
    <t>pf attuali</t>
  </si>
  <si>
    <t>rigen.</t>
  </si>
  <si>
    <t>g. rapida</t>
  </si>
  <si>
    <t>Nome del Giocatore:</t>
  </si>
  <si>
    <t>Data Creazione:</t>
  </si>
  <si>
    <t>Razza:</t>
  </si>
  <si>
    <t>Elfo del Sole</t>
  </si>
  <si>
    <t>Sesso:</t>
  </si>
  <si>
    <t>M</t>
  </si>
  <si>
    <t>Pelle:</t>
  </si>
  <si>
    <t>Dorata</t>
  </si>
  <si>
    <t>FOR</t>
  </si>
  <si>
    <t>Età:</t>
  </si>
  <si>
    <t>Altezza:</t>
  </si>
  <si>
    <t>Peso:</t>
  </si>
  <si>
    <t>Capelli:</t>
  </si>
  <si>
    <t>Occhi: Smeraldo</t>
  </si>
  <si>
    <t>livelli negativi</t>
  </si>
  <si>
    <t>danni non letali</t>
  </si>
  <si>
    <t>Allineamento:</t>
  </si>
  <si>
    <t>Legale Buono</t>
  </si>
  <si>
    <t>Taglia:</t>
  </si>
  <si>
    <t>riduzione danno</t>
  </si>
  <si>
    <t>resistenza incantesimi</t>
  </si>
  <si>
    <t>Archetipi:</t>
  </si>
  <si>
    <t>COS</t>
  </si>
  <si>
    <t>resistenze elementali</t>
  </si>
  <si>
    <t>CLASSI E PUNTI ESPERIENZA</t>
  </si>
  <si>
    <t>Livello classe</t>
  </si>
  <si>
    <t>dado vita</t>
  </si>
  <si>
    <t>punti ferita</t>
  </si>
  <si>
    <t>classe preferita</t>
  </si>
  <si>
    <t>formula punti abilità</t>
  </si>
  <si>
    <t>punti Abilità</t>
  </si>
  <si>
    <t>Livello totale</t>
  </si>
  <si>
    <t>A</t>
  </si>
  <si>
    <t>Mago</t>
  </si>
  <si>
    <t>d4</t>
  </si>
  <si>
    <t>2+INT</t>
  </si>
  <si>
    <t>Punti Esperienza</t>
  </si>
  <si>
    <t>B</t>
  </si>
  <si>
    <t>P.E. livello successivo</t>
  </si>
  <si>
    <t>C</t>
  </si>
  <si>
    <t>Penalità P.E</t>
  </si>
  <si>
    <t>BONUS ATTACCO BASE</t>
  </si>
  <si>
    <t>INIZIATIVA</t>
  </si>
  <si>
    <t xml:space="preserve">bonus attacco base classi
</t>
  </si>
  <si>
    <t>des</t>
  </si>
  <si>
    <t>talenti</t>
  </si>
  <si>
    <t>magia</t>
  </si>
  <si>
    <t>altro</t>
  </si>
  <si>
    <t>D</t>
  </si>
  <si>
    <t xml:space="preserve">P.E. Stirpe </t>
  </si>
  <si>
    <t>BAB</t>
  </si>
  <si>
    <t>taglia</t>
  </si>
  <si>
    <t>forza</t>
  </si>
  <si>
    <t>tc in mischia</t>
  </si>
  <si>
    <t>+</t>
  </si>
  <si>
    <t>=</t>
  </si>
  <si>
    <t>E</t>
  </si>
  <si>
    <t>destrezza</t>
  </si>
  <si>
    <t>tc a distanza</t>
  </si>
  <si>
    <t>P.A.</t>
  </si>
  <si>
    <t>LINGUE</t>
  </si>
  <si>
    <t>ALFAB.</t>
  </si>
  <si>
    <t xml:space="preserve">taglia </t>
  </si>
  <si>
    <t>F</t>
  </si>
  <si>
    <t>Comune</t>
  </si>
  <si>
    <t>armat.</t>
  </si>
  <si>
    <t>scudo</t>
  </si>
  <si>
    <t>Elfico</t>
  </si>
  <si>
    <t>G</t>
  </si>
  <si>
    <t>Draconico</t>
  </si>
  <si>
    <t>penalità combattere con due armi</t>
  </si>
  <si>
    <t>naturale</t>
  </si>
  <si>
    <t>deviazione</t>
  </si>
  <si>
    <t>temp</t>
  </si>
  <si>
    <t>Celestiale</t>
  </si>
  <si>
    <t>H</t>
  </si>
  <si>
    <t>modificatori</t>
  </si>
  <si>
    <t>Auran</t>
  </si>
  <si>
    <t>Gnomesco</t>
  </si>
  <si>
    <t>TAGLIA</t>
  </si>
  <si>
    <t>lottare</t>
  </si>
  <si>
    <t>primaria</t>
  </si>
  <si>
    <t>secondaria</t>
  </si>
  <si>
    <t>CA alla sprovvista</t>
  </si>
  <si>
    <t>CA contatto**</t>
  </si>
  <si>
    <t>Fallimento incantesimi</t>
  </si>
  <si>
    <t>MODIFICATORI</t>
  </si>
  <si>
    <t>maestria in comb</t>
  </si>
  <si>
    <t>Note:</t>
  </si>
  <si>
    <t>TIRI SALVEZZA</t>
  </si>
  <si>
    <t>CONTANTI</t>
  </si>
  <si>
    <t>NOTE E APPUNTI</t>
  </si>
  <si>
    <t>**</t>
  </si>
  <si>
    <t>altro e magia inclusi. Se necessario vanno sottratti</t>
  </si>
  <si>
    <t>monete di platino</t>
  </si>
  <si>
    <t>totale</t>
  </si>
  <si>
    <t>base</t>
  </si>
  <si>
    <t>abilità</t>
  </si>
  <si>
    <t>Tempra</t>
  </si>
  <si>
    <t>monete d'oro</t>
  </si>
  <si>
    <t>Movimento</t>
  </si>
  <si>
    <t>Riflessi</t>
  </si>
  <si>
    <t>monete d'argento</t>
  </si>
  <si>
    <t>Velocità di base:</t>
  </si>
  <si>
    <t>Volare:</t>
  </si>
  <si>
    <t>Volontà</t>
  </si>
  <si>
    <t>monete di rame</t>
  </si>
  <si>
    <t>Altro Movimento:</t>
  </si>
  <si>
    <t>DENARO PRESTATO, DEPOSITATO, RICEVUTO</t>
  </si>
  <si>
    <t>dove</t>
  </si>
  <si>
    <t>quando</t>
  </si>
  <si>
    <t>quanto</t>
  </si>
  <si>
    <t>MOVIMENTO</t>
  </si>
  <si>
    <t>TATTICO (m/round)</t>
  </si>
  <si>
    <t>LOCALE (m/minuto)</t>
  </si>
  <si>
    <t>ORA (km/ora)</t>
  </si>
  <si>
    <t>GIORNO (km/8 ore)</t>
  </si>
  <si>
    <t>CAMMINARE</t>
  </si>
  <si>
    <t>VELOCI (X2)</t>
  </si>
  <si>
    <t>CORRERE (X3)</t>
  </si>
  <si>
    <t>CORRERE (X4)</t>
  </si>
  <si>
    <t>Modificatori:</t>
  </si>
  <si>
    <t>terra</t>
  </si>
  <si>
    <t>Movimento visualizzato</t>
  </si>
  <si>
    <t>volare</t>
  </si>
  <si>
    <t>marca con x dove si applica il modificatore</t>
  </si>
  <si>
    <t>ARMI MISCHIA</t>
  </si>
  <si>
    <t>ARMATURE</t>
  </si>
  <si>
    <t>Arma</t>
  </si>
  <si>
    <t>bonus a tc di arma</t>
  </si>
  <si>
    <t>incremento gittata</t>
  </si>
  <si>
    <t>critico</t>
  </si>
  <si>
    <t>danno totale</t>
  </si>
  <si>
    <t>tipo</t>
  </si>
  <si>
    <t>Note</t>
  </si>
  <si>
    <t>Armature</t>
  </si>
  <si>
    <t>Bonus CA</t>
  </si>
  <si>
    <t>Des max</t>
  </si>
  <si>
    <t>penalità alla prova</t>
  </si>
  <si>
    <t>fallimento incantesimi</t>
  </si>
  <si>
    <t>velocità</t>
  </si>
  <si>
    <t>peso</t>
  </si>
  <si>
    <t>proprietà speciali</t>
  </si>
  <si>
    <t>Bastone Ferrato</t>
  </si>
  <si>
    <t>x2</t>
  </si>
  <si>
    <t>1d6</t>
  </si>
  <si>
    <t>c</t>
  </si>
  <si>
    <t>indossata</t>
  </si>
  <si>
    <t>Arco Corto</t>
  </si>
  <si>
    <t>18m</t>
  </si>
  <si>
    <t>x3</t>
  </si>
  <si>
    <t>p</t>
  </si>
  <si>
    <t>inserire penalità negativa</t>
  </si>
  <si>
    <t>SCUDO</t>
  </si>
  <si>
    <t>Scudo</t>
  </si>
  <si>
    <t>PROIETTILI</t>
  </si>
  <si>
    <t>TIPO</t>
  </si>
  <si>
    <t>quantità</t>
  </si>
  <si>
    <t>NOTE</t>
  </si>
  <si>
    <t>Freccia</t>
  </si>
  <si>
    <t>39/40</t>
  </si>
  <si>
    <t>OGGETTO PROTETTIVO</t>
  </si>
  <si>
    <t>oggetto   protettivo</t>
  </si>
  <si>
    <t>COMPENTENZA CON ARMI E ARMATURE</t>
  </si>
  <si>
    <t>ARMI</t>
  </si>
  <si>
    <t>Tutte le armi semplici</t>
  </si>
  <si>
    <t>armature leggere</t>
  </si>
  <si>
    <t>Tutte le armi da guerra</t>
  </si>
  <si>
    <t>armature medie</t>
  </si>
  <si>
    <t>da guerra</t>
  </si>
  <si>
    <t>armature pesante</t>
  </si>
  <si>
    <t>esotica</t>
  </si>
  <si>
    <t>PRIVILEGI DI CLASSE</t>
  </si>
  <si>
    <t>CAPACITÀ MAGICHE</t>
  </si>
  <si>
    <t>DIVINITÀ E DOMINI</t>
  </si>
  <si>
    <t>EQUIPAGGIAMENTO</t>
  </si>
  <si>
    <t>Scuole Proibile: Necromanzia, Ammaliamento, Illusione</t>
  </si>
  <si>
    <t>Divinità:</t>
  </si>
  <si>
    <t>OGGETTI</t>
  </si>
  <si>
    <t>I</t>
  </si>
  <si>
    <t>Z</t>
  </si>
  <si>
    <t>T</t>
  </si>
  <si>
    <t>Dominio:</t>
  </si>
  <si>
    <t>Libro Incantesimi (Vuoto)</t>
  </si>
  <si>
    <t>Poteri:</t>
  </si>
  <si>
    <t>Abito da studioso</t>
  </si>
  <si>
    <t>Borsa Componenti Incantesimi</t>
  </si>
  <si>
    <t>Giaciglio</t>
  </si>
  <si>
    <t>Zaino</t>
  </si>
  <si>
    <t>Gessetto</t>
  </si>
  <si>
    <t>Custodia Mappe o pergamene</t>
  </si>
  <si>
    <t>Inchiostro</t>
  </si>
  <si>
    <t>Pennino</t>
  </si>
  <si>
    <t>Otre</t>
  </si>
  <si>
    <t>Razione Viaggio (2)</t>
  </si>
  <si>
    <t>Foglio Pegamena (5)</t>
  </si>
  <si>
    <t>Candela (10)</t>
  </si>
  <si>
    <t>Acciarino</t>
  </si>
  <si>
    <t>SCACCIARE NON MORTI</t>
  </si>
  <si>
    <t>Freccie (40)</t>
  </si>
  <si>
    <t xml:space="preserve">Prova: 1d20 + </t>
  </si>
  <si>
    <t>RISULTATO</t>
  </si>
  <si>
    <t>MAX DV</t>
  </si>
  <si>
    <t>Corda</t>
  </si>
  <si>
    <t>Fino a 0</t>
  </si>
  <si>
    <t>Liv. Chr -4</t>
  </si>
  <si>
    <t>Lanterna</t>
  </si>
  <si>
    <t>DV influenzati</t>
  </si>
  <si>
    <t>2d6 + liv</t>
  </si>
  <si>
    <t>1-3</t>
  </si>
  <si>
    <t>Liv. Chr -3</t>
  </si>
  <si>
    <t>Olio (2)</t>
  </si>
  <si>
    <t>4-6</t>
  </si>
  <si>
    <t>Liv. Chr -2</t>
  </si>
  <si>
    <t>Pozione Rossa (2)</t>
  </si>
  <si>
    <t>talento</t>
  </si>
  <si>
    <t>7-9</t>
  </si>
  <si>
    <t>Liv. Chr -1</t>
  </si>
  <si>
    <t>Tentativi Giornalieri</t>
  </si>
  <si>
    <t>10-12</t>
  </si>
  <si>
    <t>Liv. Chr</t>
  </si>
  <si>
    <t>13-15</t>
  </si>
  <si>
    <t>Liv. Chr +1</t>
  </si>
  <si>
    <t>16-18</t>
  </si>
  <si>
    <t>Liv. Chr +2</t>
  </si>
  <si>
    <t>19-21</t>
  </si>
  <si>
    <t>Liv. Chr +3</t>
  </si>
  <si>
    <t>22+</t>
  </si>
  <si>
    <t>Liv. Chr +4</t>
  </si>
  <si>
    <t>LEGENDA:</t>
  </si>
  <si>
    <t>I - indossati</t>
  </si>
  <si>
    <t>Z - Zaino</t>
  </si>
  <si>
    <t>T - Tasca da cintura</t>
  </si>
  <si>
    <t>Nome Elemento</t>
  </si>
  <si>
    <t>Quantità</t>
  </si>
  <si>
    <t>Costo Unitario (mo)</t>
  </si>
  <si>
    <t>Peso (kg)</t>
  </si>
  <si>
    <t>Incantesimo Associato</t>
  </si>
  <si>
    <t>Descrizione</t>
  </si>
  <si>
    <t>Filo di Ramme</t>
  </si>
  <si>
    <t>Focus</t>
  </si>
  <si>
    <t>Messaggio</t>
  </si>
  <si>
    <t>Pezzo cuoio conciato</t>
  </si>
  <si>
    <t>Armatura Magica</t>
  </si>
  <si>
    <t>Ciuffo Pelo Cavallo</t>
  </si>
  <si>
    <t>Cavalcatura</t>
  </si>
  <si>
    <t>Borsa Minuscola</t>
  </si>
  <si>
    <t>Evoca Mostri</t>
  </si>
  <si>
    <t>Piccola Candela</t>
  </si>
  <si>
    <t>Pezzo Spago</t>
  </si>
  <si>
    <t>Servitore Inosservato</t>
  </si>
  <si>
    <t>Legnetto</t>
  </si>
  <si>
    <t>Grasso Maiale</t>
  </si>
  <si>
    <t>Unto</t>
  </si>
  <si>
    <t>Burro</t>
  </si>
  <si>
    <t>Prisma Cristallo</t>
  </si>
  <si>
    <t>Lettura del Magico</t>
  </si>
  <si>
    <t>Incantesimi conosciuti:</t>
  </si>
  <si>
    <t>Incantesimi al giorno:</t>
  </si>
  <si>
    <t>Liv.</t>
  </si>
  <si>
    <t>N.</t>
  </si>
  <si>
    <t>2+3</t>
  </si>
  <si>
    <t>1+3</t>
  </si>
  <si>
    <t>slot usati</t>
  </si>
  <si>
    <t>Livello 0</t>
  </si>
  <si>
    <t>Man.</t>
  </si>
  <si>
    <t>Livello 1</t>
  </si>
  <si>
    <t>Livello 2</t>
  </si>
  <si>
    <t>Livello 3</t>
  </si>
  <si>
    <t>Livello 4</t>
  </si>
  <si>
    <t>Livello 5</t>
  </si>
  <si>
    <t>Livello 6</t>
  </si>
  <si>
    <t>Livello 7</t>
  </si>
  <si>
    <t>Livello 8</t>
  </si>
  <si>
    <t>Livello 9</t>
  </si>
  <si>
    <t>Evoca Mostri I</t>
  </si>
  <si>
    <t>Globo di fuoco inferiore</t>
  </si>
  <si>
    <t>P. Ar</t>
  </si>
  <si>
    <t>Ripara Danni Leggeri ?</t>
  </si>
  <si>
    <t>Ritirata Rapida</t>
  </si>
  <si>
    <t>Caduta Morbida</t>
  </si>
  <si>
    <t>Incantesimi preparati</t>
  </si>
  <si>
    <t>Acid Splash</t>
  </si>
  <si>
    <t>Mano Magica</t>
  </si>
  <si>
    <t>Resistenza</t>
  </si>
  <si>
    <t>Read Magic</t>
  </si>
  <si>
    <t>Livello</t>
  </si>
  <si>
    <t>Punti Esperienza Totali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</si>
</sst>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h.mm"/>
    <numFmt numFmtId="166" formatCode="H.mm.ss"/>
  </numFmts>
  <fonts count="27">
    <font>
      <sz val="11.0"/>
      <color theme="1"/>
      <name val="Aptos Narrow"/>
      <scheme val="minor"/>
    </font>
    <font>
      <sz val="11.0"/>
      <color theme="1"/>
      <name val="Nyala"/>
    </font>
    <font>
      <sz val="11.0"/>
      <color theme="1"/>
      <name val="Arial"/>
    </font>
    <font>
      <b/>
      <sz val="11.0"/>
      <color theme="0"/>
      <name val="Nyala"/>
    </font>
    <font/>
    <font>
      <b/>
      <sz val="11.0"/>
      <color rgb="FFFFFFFF"/>
      <name val="Arial"/>
    </font>
    <font>
      <sz val="10.0"/>
      <color theme="1"/>
      <name val="Nyala"/>
    </font>
    <font>
      <sz val="10.0"/>
      <color theme="1"/>
      <name val="Arial"/>
    </font>
    <font>
      <sz val="8.0"/>
      <color theme="1"/>
      <name val="Nyala"/>
    </font>
    <font>
      <sz val="14.0"/>
      <color theme="1"/>
      <name val="Nyala"/>
    </font>
    <font>
      <b/>
      <sz val="11.0"/>
      <color theme="1"/>
      <name val="Nyala"/>
    </font>
    <font>
      <b/>
      <sz val="11.0"/>
      <color theme="1"/>
      <name val="Arial"/>
    </font>
    <font>
      <sz val="12.0"/>
      <color theme="1"/>
      <name val="Nyala"/>
    </font>
    <font>
      <sz val="11.0"/>
      <color theme="1"/>
      <name val="Aptos Narrow"/>
    </font>
    <font>
      <b/>
      <sz val="10.0"/>
      <color rgb="FFFFFFFF"/>
      <name val="Arial"/>
    </font>
    <font>
      <sz val="26.0"/>
      <color theme="1"/>
      <name val="Nyala"/>
    </font>
    <font>
      <sz val="7.0"/>
      <color theme="1"/>
      <name val="Nyala"/>
    </font>
    <font>
      <b/>
      <sz val="9.0"/>
      <color theme="0"/>
      <name val="Nyala"/>
    </font>
    <font>
      <sz val="9.0"/>
      <color theme="1"/>
      <name val="Nyala"/>
    </font>
    <font>
      <sz val="10.0"/>
      <color theme="0"/>
      <name val="Nyala"/>
    </font>
    <font>
      <sz val="11.0"/>
      <color theme="0"/>
      <name val="Nyala"/>
    </font>
    <font>
      <color theme="1"/>
      <name val="Aptos Narrow"/>
      <scheme val="minor"/>
    </font>
    <font>
      <b/>
      <sz val="11.0"/>
      <color theme="1"/>
      <name val="Aptos Narrow"/>
    </font>
    <font>
      <u/>
      <sz val="11.0"/>
      <color theme="1"/>
      <name val="Nyala"/>
    </font>
    <font>
      <sz val="11.0"/>
      <color theme="1"/>
      <name val="Aharoni"/>
    </font>
    <font>
      <color theme="1"/>
      <name val="Arial"/>
    </font>
    <font>
      <color theme="1"/>
      <name val="Aptos Narrow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7"/>
        <bgColor theme="7"/>
      </patternFill>
    </fill>
  </fills>
  <borders count="167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/>
      <top/>
      <bottom/>
    </border>
    <border>
      <left/>
      <top/>
      <bottom style="thin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 style="thin">
        <color rgb="FF000000"/>
      </bottom>
    </border>
    <border>
      <left/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right style="thick">
        <color rgb="FF000000"/>
      </right>
      <top style="medium">
        <color rgb="FF000000"/>
      </top>
    </border>
    <border>
      <left style="thick">
        <color rgb="FF000000"/>
      </left>
      <right style="thin">
        <color rgb="FF000000"/>
      </right>
      <top/>
    </border>
    <border>
      <right style="thick">
        <color rgb="FF000000"/>
      </right>
      <top/>
    </border>
    <border>
      <left/>
      <top/>
    </border>
    <border>
      <top/>
    </border>
    <border>
      <right style="medium">
        <color rgb="FF000000"/>
      </right>
      <top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left/>
      <top style="thin">
        <color rgb="FF000000"/>
      </top>
      <bottom/>
    </border>
    <border>
      <left/>
      <right/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/>
      <right/>
      <top/>
    </border>
    <border>
      <left/>
      <right/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/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/>
      <top style="thin">
        <color rgb="FF000000"/>
      </top>
    </border>
    <border>
      <right/>
      <bottom style="thin">
        <color rgb="FF000000"/>
      </bottom>
    </border>
    <border>
      <left/>
      <right/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n">
        <color rgb="FF000000"/>
      </righ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left/>
      <top style="medium">
        <color rgb="FF000000"/>
      </top>
    </border>
    <border>
      <left/>
      <top/>
      <bottom/>
    </border>
    <border>
      <left/>
    </border>
    <border>
      <lef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/>
      <top style="medium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/>
    </border>
    <border>
      <left style="medium">
        <color rgb="FF000000"/>
      </left>
      <right/>
      <bottom style="medium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right style="thin">
        <color rgb="FF000000"/>
      </right>
      <top/>
      <bottom/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2" fontId="5" numFmtId="0" xfId="0" applyAlignment="1" applyBorder="1" applyFont="1">
      <alignment horizontal="center" readingOrder="0" shrinkToFit="0" vertical="center" wrapText="1"/>
    </xf>
    <xf borderId="4" fillId="2" fontId="3" numFmtId="0" xfId="0" applyAlignment="1" applyBorder="1" applyFont="1">
      <alignment horizontal="left" shrinkToFit="0" vertical="center" wrapText="1"/>
    </xf>
    <xf borderId="5" fillId="2" fontId="3" numFmtId="0" xfId="0" applyAlignment="1" applyBorder="1" applyFont="1">
      <alignment horizontal="left" shrinkToFit="0" vertical="center" wrapText="1"/>
    </xf>
    <xf borderId="5" fillId="2" fontId="5" numFmtId="0" xfId="0" applyAlignment="1" applyBorder="1" applyFont="1">
      <alignment horizontal="left" readingOrder="0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7" fillId="3" fontId="1" numFmtId="0" xfId="0" applyAlignment="1" applyBorder="1" applyFill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3" fontId="1" numFmtId="0" xfId="0" applyAlignment="1" applyBorder="1" applyFont="1">
      <alignment horizontal="center" shrinkToFit="0" vertical="center" wrapText="1"/>
    </xf>
    <xf borderId="11" fillId="4" fontId="2" numFmtId="0" xfId="0" applyAlignment="1" applyBorder="1" applyFill="1" applyFont="1">
      <alignment horizontal="left" readingOrder="0" shrinkToFit="0" vertical="top" wrapText="1"/>
    </xf>
    <xf borderId="12" fillId="0" fontId="4" numFmtId="0" xfId="0" applyBorder="1" applyFont="1"/>
    <xf borderId="13" fillId="0" fontId="4" numFmtId="0" xfId="0" applyBorder="1" applyFont="1"/>
    <xf borderId="14" fillId="3" fontId="6" numFmtId="0" xfId="0" applyAlignment="1" applyBorder="1" applyFont="1">
      <alignment horizontal="left" shrinkToFit="0" vertical="center" wrapText="1"/>
    </xf>
    <xf borderId="15" fillId="4" fontId="7" numFmtId="0" xfId="0" applyAlignment="1" applyBorder="1" applyFont="1">
      <alignment horizontal="center" shrinkToFit="0" vertical="center" wrapText="1"/>
    </xf>
    <xf borderId="16" fillId="4" fontId="7" numFmtId="0" xfId="0" applyAlignment="1" applyBorder="1" applyFont="1">
      <alignment horizontal="center" shrinkToFit="0" vertical="center" wrapText="1"/>
    </xf>
    <xf borderId="17" fillId="3" fontId="6" numFmtId="0" xfId="0" applyAlignment="1" applyBorder="1" applyFont="1">
      <alignment horizontal="left" shrinkToFit="0" vertical="center" wrapText="1"/>
    </xf>
    <xf borderId="17" fillId="3" fontId="6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readingOrder="0" shrinkToFit="0" vertical="center" wrapText="1"/>
    </xf>
    <xf borderId="17" fillId="4" fontId="6" numFmtId="0" xfId="0" applyAlignment="1" applyBorder="1" applyFont="1">
      <alignment horizontal="center" shrinkToFit="0" vertical="center" wrapText="1"/>
    </xf>
    <xf borderId="18" fillId="5" fontId="6" numFmtId="0" xfId="0" applyAlignment="1" applyBorder="1" applyFill="1" applyFont="1">
      <alignment horizontal="center"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16" fillId="4" fontId="6" numFmtId="0" xfId="0" applyAlignment="1" applyBorder="1" applyFont="1">
      <alignment horizontal="center" shrinkToFit="0" vertical="center" wrapText="1"/>
    </xf>
    <xf borderId="19" fillId="4" fontId="2" numFmtId="0" xfId="0" applyAlignment="1" applyBorder="1" applyFont="1">
      <alignment horizontal="left" readingOrder="0" shrinkToFit="0" vertical="center" wrapText="1"/>
    </xf>
    <xf borderId="20" fillId="0" fontId="4" numFmtId="0" xfId="0" applyBorder="1" applyFont="1"/>
    <xf borderId="21" fillId="0" fontId="4" numFmtId="0" xfId="0" applyBorder="1" applyFont="1"/>
    <xf borderId="17" fillId="4" fontId="1" numFmtId="0" xfId="0" applyAlignment="1" applyBorder="1" applyFont="1">
      <alignment horizontal="center" shrinkToFit="0" vertical="center" wrapText="1"/>
    </xf>
    <xf borderId="22" fillId="4" fontId="2" numFmtId="0" xfId="0" applyAlignment="1" applyBorder="1" applyFont="1">
      <alignment horizontal="center" readingOrder="0" shrinkToFit="0" vertical="center" wrapText="1"/>
    </xf>
    <xf borderId="23" fillId="0" fontId="4" numFmtId="0" xfId="0" applyBorder="1" applyFont="1"/>
    <xf borderId="24" fillId="0" fontId="4" numFmtId="0" xfId="0" applyBorder="1" applyFont="1"/>
    <xf borderId="17" fillId="4" fontId="7" numFmtId="0" xfId="0" applyAlignment="1" applyBorder="1" applyFont="1">
      <alignment horizontal="center" shrinkToFit="0" vertical="center" wrapText="1"/>
    </xf>
    <xf borderId="25" fillId="4" fontId="2" numFmtId="0" xfId="0" applyAlignment="1" applyBorder="1" applyFont="1">
      <alignment horizontal="left" readingOrder="0" shrinkToFit="0" vertical="center" wrapText="1"/>
    </xf>
    <xf borderId="26" fillId="0" fontId="4" numFmtId="0" xfId="0" applyBorder="1" applyFont="1"/>
    <xf borderId="16" fillId="0" fontId="4" numFmtId="0" xfId="0" applyBorder="1" applyFont="1"/>
    <xf borderId="18" fillId="4" fontId="2" numFmtId="0" xfId="0" applyAlignment="1" applyBorder="1" applyFont="1">
      <alignment horizontal="center" readingOrder="0" shrinkToFit="0" vertical="center" wrapText="1"/>
    </xf>
    <xf borderId="25" fillId="4" fontId="1" numFmtId="0" xfId="0" applyAlignment="1" applyBorder="1" applyFont="1">
      <alignment horizontal="left" shrinkToFit="0" vertical="center" wrapText="1"/>
    </xf>
    <xf borderId="18" fillId="4" fontId="1" numFmtId="0" xfId="0" applyAlignment="1" applyBorder="1" applyFont="1">
      <alignment horizontal="center" shrinkToFit="0" vertical="center" wrapText="1"/>
    </xf>
    <xf borderId="14" fillId="3" fontId="8" numFmtId="0" xfId="0" applyAlignment="1" applyBorder="1" applyFont="1">
      <alignment horizontal="left" shrinkToFit="0" vertical="center" wrapText="1"/>
    </xf>
    <xf borderId="17" fillId="3" fontId="7" numFmtId="0" xfId="0" applyAlignment="1" applyBorder="1" applyFont="1">
      <alignment horizontal="left" shrinkToFit="0" vertical="center" wrapText="1"/>
    </xf>
    <xf borderId="14" fillId="3" fontId="7" numFmtId="0" xfId="0" applyAlignment="1" applyBorder="1" applyFont="1">
      <alignment horizontal="left" readingOrder="0" shrinkToFit="0" vertical="center" wrapText="1"/>
    </xf>
    <xf borderId="15" fillId="4" fontId="7" numFmtId="0" xfId="0" applyAlignment="1" applyBorder="1" applyFont="1">
      <alignment horizontal="center" readingOrder="0" shrinkToFit="0" vertical="center" wrapText="1"/>
    </xf>
    <xf borderId="16" fillId="4" fontId="7" numFmtId="0" xfId="0" applyAlignment="1" applyBorder="1" applyFont="1">
      <alignment horizontal="center" readingOrder="0" shrinkToFit="0" vertical="center" wrapText="1"/>
    </xf>
    <xf borderId="27" fillId="4" fontId="1" numFmtId="0" xfId="0" applyAlignment="1" applyBorder="1" applyFont="1">
      <alignment horizontal="left" shrinkToFit="0" vertical="center" wrapText="1"/>
    </xf>
    <xf borderId="28" fillId="0" fontId="4" numFmtId="0" xfId="0" applyBorder="1" applyFont="1"/>
    <xf borderId="29" fillId="0" fontId="4" numFmtId="0" xfId="0" applyBorder="1" applyFont="1"/>
    <xf borderId="30" fillId="4" fontId="1" numFmtId="0" xfId="0" applyAlignment="1" applyBorder="1" applyFont="1">
      <alignment horizontal="center" shrinkToFit="0" vertical="center" wrapText="1"/>
    </xf>
    <xf borderId="31" fillId="4" fontId="1" numFmtId="0" xfId="0" applyAlignment="1" applyBorder="1" applyFont="1">
      <alignment horizontal="center" shrinkToFit="0" vertical="center" wrapText="1"/>
    </xf>
    <xf borderId="32" fillId="0" fontId="4" numFmtId="0" xfId="0" applyBorder="1" applyFont="1"/>
    <xf borderId="33" fillId="0" fontId="4" numFmtId="0" xfId="0" applyBorder="1" applyFont="1"/>
    <xf borderId="34" fillId="0" fontId="4" numFmtId="0" xfId="0" applyBorder="1" applyFont="1"/>
    <xf borderId="35" fillId="3" fontId="6" numFmtId="0" xfId="0" applyAlignment="1" applyBorder="1" applyFont="1">
      <alignment horizontal="left" shrinkToFit="0" vertical="center" wrapText="1"/>
    </xf>
    <xf borderId="36" fillId="4" fontId="6" numFmtId="0" xfId="0" applyAlignment="1" applyBorder="1" applyFont="1">
      <alignment horizontal="center" shrinkToFit="0" vertical="center" wrapText="1"/>
    </xf>
    <xf borderId="29" fillId="4" fontId="6" numFmtId="0" xfId="0" applyAlignment="1" applyBorder="1" applyFont="1">
      <alignment horizontal="center" shrinkToFit="0" vertical="center" wrapText="1"/>
    </xf>
    <xf borderId="30" fillId="3" fontId="6" numFmtId="0" xfId="0" applyAlignment="1" applyBorder="1" applyFont="1">
      <alignment horizontal="left" shrinkToFit="0" vertical="center" wrapText="1"/>
    </xf>
    <xf borderId="30" fillId="3" fontId="6" numFmtId="0" xfId="0" applyAlignment="1" applyBorder="1" applyFont="1">
      <alignment horizontal="center" shrinkToFit="0" vertical="center" wrapText="1"/>
    </xf>
    <xf borderId="30" fillId="4" fontId="6" numFmtId="0" xfId="0" applyAlignment="1" applyBorder="1" applyFont="1">
      <alignment horizontal="center" shrinkToFit="0" vertical="center" wrapText="1"/>
    </xf>
    <xf borderId="31" fillId="5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32" fillId="0" fontId="6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horizontal="left" shrinkToFit="0" vertical="center" wrapText="1"/>
    </xf>
    <xf borderId="0" fillId="0" fontId="9" numFmtId="0" xfId="0" applyFont="1"/>
    <xf borderId="0" fillId="0" fontId="1" numFmtId="0" xfId="0" applyFont="1"/>
    <xf borderId="1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 shrinkToFit="0" wrapText="1"/>
    </xf>
    <xf borderId="25" fillId="4" fontId="1" numFmtId="0" xfId="0" applyAlignment="1" applyBorder="1" applyFont="1">
      <alignment horizontal="left" vertical="center"/>
    </xf>
    <xf borderId="37" fillId="4" fontId="1" numFmtId="0" xfId="0" applyAlignment="1" applyBorder="1" applyFont="1">
      <alignment horizontal="left" vertical="center"/>
    </xf>
    <xf borderId="38" fillId="4" fontId="2" numFmtId="0" xfId="0" applyAlignment="1" applyBorder="1" applyFont="1">
      <alignment horizontal="left" readingOrder="0" vertical="center"/>
    </xf>
    <xf borderId="39" fillId="0" fontId="4" numFmtId="0" xfId="0" applyBorder="1" applyFont="1"/>
    <xf borderId="11" fillId="3" fontId="1" numFmtId="0" xfId="0" applyAlignment="1" applyBorder="1" applyFont="1">
      <alignment horizontal="center" shrinkToFit="0" vertical="center" wrapText="1"/>
    </xf>
    <xf borderId="40" fillId="0" fontId="4" numFmtId="0" xfId="0" applyBorder="1" applyFont="1"/>
    <xf borderId="41" fillId="3" fontId="1" numFmtId="0" xfId="0" applyAlignment="1" applyBorder="1" applyFont="1">
      <alignment horizontal="center" shrinkToFit="0" vertical="center" wrapText="1"/>
    </xf>
    <xf borderId="42" fillId="3" fontId="6" numFmtId="0" xfId="0" applyAlignment="1" applyBorder="1" applyFont="1">
      <alignment horizontal="center" shrinkToFit="0" vertical="center" wrapText="1"/>
    </xf>
    <xf borderId="42" fillId="3" fontId="1" numFmtId="0" xfId="0" applyAlignment="1" applyBorder="1" applyFont="1">
      <alignment horizontal="center" shrinkToFit="0" vertical="center" wrapText="1"/>
    </xf>
    <xf borderId="43" fillId="3" fontId="1" numFmtId="0" xfId="0" applyAlignment="1" applyBorder="1" applyFont="1">
      <alignment shrinkToFit="0" wrapText="1"/>
    </xf>
    <xf borderId="44" fillId="3" fontId="10" numFmtId="0" xfId="0" applyAlignment="1" applyBorder="1" applyFont="1">
      <alignment horizontal="center" shrinkToFit="0" wrapText="1"/>
    </xf>
    <xf borderId="45" fillId="3" fontId="1" numFmtId="0" xfId="0" applyAlignment="1" applyBorder="1" applyFont="1">
      <alignment shrinkToFit="0" wrapText="1"/>
    </xf>
    <xf borderId="45" fillId="3" fontId="6" numFmtId="0" xfId="0" applyBorder="1" applyFont="1"/>
    <xf borderId="45" fillId="3" fontId="1" numFmtId="0" xfId="0" applyBorder="1" applyFont="1"/>
    <xf borderId="45" fillId="3" fontId="10" numFmtId="0" xfId="0" applyAlignment="1" applyBorder="1" applyFont="1">
      <alignment shrinkToFit="0" wrapText="1"/>
    </xf>
    <xf borderId="46" fillId="3" fontId="1" numFmtId="0" xfId="0" applyBorder="1" applyFont="1"/>
    <xf borderId="19" fillId="4" fontId="1" numFmtId="0" xfId="0" applyAlignment="1" applyBorder="1" applyFont="1">
      <alignment horizontal="left" vertical="center"/>
    </xf>
    <xf borderId="47" fillId="4" fontId="1" numFmtId="0" xfId="0" applyAlignment="1" applyBorder="1" applyFont="1">
      <alignment horizontal="left" vertical="center"/>
    </xf>
    <xf borderId="44" fillId="4" fontId="1" numFmtId="0" xfId="0" applyAlignment="1" applyBorder="1" applyFont="1">
      <alignment horizontal="center" vertical="center"/>
    </xf>
    <xf borderId="47" fillId="4" fontId="1" numFmtId="0" xfId="0" applyAlignment="1" applyBorder="1" applyFont="1">
      <alignment horizontal="center" vertical="center"/>
    </xf>
    <xf borderId="44" fillId="4" fontId="1" numFmtId="0" xfId="0" applyAlignment="1" applyBorder="1" applyFont="1">
      <alignment horizontal="left" vertical="center"/>
    </xf>
    <xf borderId="38" fillId="4" fontId="1" numFmtId="164" xfId="0" applyAlignment="1" applyBorder="1" applyFont="1" applyNumberFormat="1">
      <alignment horizontal="center" vertical="center"/>
    </xf>
    <xf borderId="48" fillId="0" fontId="4" numFmtId="0" xfId="0" applyBorder="1" applyFont="1"/>
    <xf borderId="49" fillId="0" fontId="4" numFmtId="0" xfId="0" applyBorder="1" applyFont="1"/>
    <xf borderId="50" fillId="0" fontId="4" numFmtId="0" xfId="0" applyBorder="1" applyFont="1"/>
    <xf borderId="51" fillId="4" fontId="10" numFmtId="0" xfId="0" applyAlignment="1" applyBorder="1" applyFont="1">
      <alignment horizontal="center" shrinkToFit="0" vertical="center" wrapText="1"/>
    </xf>
    <xf borderId="52" fillId="0" fontId="4" numFmtId="0" xfId="0" applyBorder="1" applyFont="1"/>
    <xf borderId="53" fillId="0" fontId="4" numFmtId="0" xfId="0" applyBorder="1" applyFont="1"/>
    <xf borderId="45" fillId="3" fontId="10" numFmtId="0" xfId="0" applyAlignment="1" applyBorder="1" applyFont="1">
      <alignment horizontal="center" shrinkToFit="0" wrapText="1"/>
    </xf>
    <xf borderId="54" fillId="4" fontId="1" numFmtId="0" xfId="0" applyAlignment="1" applyBorder="1" applyFont="1">
      <alignment horizontal="center" shrinkToFit="0" vertical="center" wrapText="1"/>
    </xf>
    <xf borderId="54" fillId="4" fontId="2" numFmtId="0" xfId="0" applyAlignment="1" applyBorder="1" applyFont="1">
      <alignment horizontal="center" readingOrder="0" shrinkToFit="0" vertical="center" wrapText="1"/>
    </xf>
    <xf borderId="45" fillId="3" fontId="1" numFmtId="0" xfId="0" applyAlignment="1" applyBorder="1" applyFont="1">
      <alignment shrinkToFit="0" vertical="center" wrapText="1"/>
    </xf>
    <xf borderId="55" fillId="4" fontId="1" numFmtId="0" xfId="0" applyAlignment="1" applyBorder="1" applyFont="1">
      <alignment vertical="center"/>
    </xf>
    <xf borderId="38" fillId="4" fontId="2" numFmtId="0" xfId="0" applyAlignment="1" applyBorder="1" applyFont="1">
      <alignment horizontal="center" readingOrder="0" vertical="center"/>
    </xf>
    <xf borderId="56" fillId="4" fontId="1" numFmtId="0" xfId="0" applyAlignment="1" applyBorder="1" applyFont="1">
      <alignment horizontal="left" vertical="center"/>
    </xf>
    <xf borderId="57" fillId="3" fontId="10" numFmtId="0" xfId="0" applyAlignment="1" applyBorder="1" applyFont="1">
      <alignment horizontal="center" shrinkToFit="0" vertical="center" wrapText="1"/>
    </xf>
    <xf borderId="58" fillId="4" fontId="11" numFmtId="0" xfId="0" applyAlignment="1" applyBorder="1" applyFont="1">
      <alignment horizontal="center" readingOrder="0" shrinkToFit="0" vertical="center" wrapText="1"/>
    </xf>
    <xf borderId="59" fillId="0" fontId="4" numFmtId="0" xfId="0" applyBorder="1" applyFont="1"/>
    <xf borderId="60" fillId="4" fontId="1" numFmtId="0" xfId="0" applyAlignment="1" applyBorder="1" applyFont="1">
      <alignment horizontal="center" shrinkToFit="0" vertical="center" wrapText="1"/>
    </xf>
    <xf borderId="61" fillId="4" fontId="1" numFmtId="0" xfId="0" applyAlignment="1" applyBorder="1" applyFont="1">
      <alignment horizontal="center" shrinkToFit="0" vertical="center" wrapText="1"/>
    </xf>
    <xf borderId="58" fillId="4" fontId="1" numFmtId="0" xfId="0" applyAlignment="1" applyBorder="1" applyFont="1">
      <alignment horizontal="center" shrinkToFit="0" vertical="center" wrapText="1"/>
    </xf>
    <xf borderId="62" fillId="0" fontId="4" numFmtId="0" xfId="0" applyBorder="1" applyFont="1"/>
    <xf borderId="63" fillId="4" fontId="1" numFmtId="0" xfId="0" applyAlignment="1" applyBorder="1" applyFont="1">
      <alignment horizontal="center" shrinkToFit="0" vertical="center" wrapText="1"/>
    </xf>
    <xf borderId="64" fillId="0" fontId="4" numFmtId="0" xfId="0" applyBorder="1" applyFont="1"/>
    <xf borderId="65" fillId="0" fontId="4" numFmtId="0" xfId="0" applyBorder="1" applyFont="1"/>
    <xf borderId="66" fillId="0" fontId="4" numFmtId="0" xfId="0" applyBorder="1" applyFont="1"/>
    <xf borderId="67" fillId="0" fontId="4" numFmtId="0" xfId="0" applyBorder="1" applyFont="1"/>
    <xf borderId="68" fillId="0" fontId="4" numFmtId="0" xfId="0" applyBorder="1" applyFont="1"/>
    <xf borderId="69" fillId="0" fontId="4" numFmtId="0" xfId="0" applyBorder="1" applyFont="1"/>
    <xf borderId="43" fillId="4" fontId="1" numFmtId="0" xfId="0" applyAlignment="1" applyBorder="1" applyFont="1">
      <alignment horizontal="left" vertical="center"/>
    </xf>
    <xf borderId="45" fillId="4" fontId="2" numFmtId="0" xfId="0" applyAlignment="1" applyBorder="1" applyFont="1">
      <alignment horizontal="left" readingOrder="0" vertical="center"/>
    </xf>
    <xf borderId="45" fillId="4" fontId="1" numFmtId="0" xfId="0" applyAlignment="1" applyBorder="1" applyFont="1">
      <alignment horizontal="left" vertical="center"/>
    </xf>
    <xf borderId="38" fillId="4" fontId="2" numFmtId="165" xfId="0" applyAlignment="1" applyBorder="1" applyFont="1" applyNumberFormat="1">
      <alignment horizontal="center" readingOrder="0" vertical="center"/>
    </xf>
    <xf borderId="38" fillId="4" fontId="1" numFmtId="0" xfId="0" applyAlignment="1" applyBorder="1" applyFont="1">
      <alignment horizontal="center" vertical="center"/>
    </xf>
    <xf borderId="46" fillId="4" fontId="1" numFmtId="0" xfId="0" applyBorder="1" applyFont="1"/>
    <xf borderId="70" fillId="0" fontId="4" numFmtId="0" xfId="0" applyBorder="1" applyFont="1"/>
    <xf borderId="71" fillId="0" fontId="4" numFmtId="0" xfId="0" applyBorder="1" applyFont="1"/>
    <xf borderId="72" fillId="0" fontId="4" numFmtId="0" xfId="0" applyBorder="1" applyFont="1"/>
    <xf borderId="73" fillId="0" fontId="4" numFmtId="0" xfId="0" applyBorder="1" applyFont="1"/>
    <xf borderId="56" fillId="0" fontId="4" numFmtId="0" xfId="0" applyBorder="1" applyFont="1"/>
    <xf borderId="74" fillId="0" fontId="4" numFmtId="0" xfId="0" applyBorder="1" applyFont="1"/>
    <xf borderId="75" fillId="4" fontId="1" numFmtId="0" xfId="0" applyAlignment="1" applyBorder="1" applyFont="1">
      <alignment horizontal="left" vertical="center"/>
    </xf>
    <xf borderId="76" fillId="0" fontId="4" numFmtId="0" xfId="0" applyBorder="1" applyFont="1"/>
    <xf borderId="77" fillId="4" fontId="2" numFmtId="0" xfId="0" applyAlignment="1" applyBorder="1" applyFont="1">
      <alignment horizontal="center" readingOrder="0" vertical="center"/>
    </xf>
    <xf borderId="78" fillId="4" fontId="1" numFmtId="0" xfId="0" applyAlignment="1" applyBorder="1" applyFont="1">
      <alignment horizontal="center" vertical="center"/>
    </xf>
    <xf borderId="78" fillId="4" fontId="1" numFmtId="0" xfId="0" applyAlignment="1" applyBorder="1" applyFont="1">
      <alignment horizontal="left" vertical="center"/>
    </xf>
    <xf borderId="77" fillId="4" fontId="1" numFmtId="0" xfId="0" applyAlignment="1" applyBorder="1" applyFont="1">
      <alignment horizontal="center" vertical="center"/>
    </xf>
    <xf borderId="79" fillId="0" fontId="4" numFmtId="0" xfId="0" applyBorder="1" applyFont="1"/>
    <xf borderId="80" fillId="3" fontId="10" numFmtId="0" xfId="0" applyAlignment="1" applyBorder="1" applyFont="1">
      <alignment horizontal="center" shrinkToFit="0" vertical="center" wrapText="1"/>
    </xf>
    <xf borderId="51" fillId="4" fontId="11" numFmtId="0" xfId="0" applyAlignment="1" applyBorder="1" applyFont="1">
      <alignment horizontal="center" readingOrder="0" shrinkToFit="0" vertical="center" wrapText="1"/>
    </xf>
    <xf borderId="81" fillId="4" fontId="1" numFmtId="0" xfId="0" applyAlignment="1" applyBorder="1" applyFont="1">
      <alignment horizontal="center" shrinkToFit="0" vertical="center" wrapText="1"/>
    </xf>
    <xf borderId="82" fillId="4" fontId="1" numFmtId="0" xfId="0" applyAlignment="1" applyBorder="1" applyFont="1">
      <alignment horizontal="center" shrinkToFit="0" vertical="center" wrapText="1"/>
    </xf>
    <xf borderId="51" fillId="4" fontId="1" numFmtId="0" xfId="0" applyAlignment="1" applyBorder="1" applyFont="1">
      <alignment horizontal="center" shrinkToFit="0" vertical="center" wrapText="1"/>
    </xf>
    <xf borderId="83" fillId="0" fontId="4" numFmtId="0" xfId="0" applyBorder="1" applyFont="1"/>
    <xf borderId="84" fillId="0" fontId="4" numFmtId="0" xfId="0" applyBorder="1" applyFont="1"/>
    <xf borderId="85" fillId="3" fontId="1" numFmtId="0" xfId="0" applyAlignment="1" applyBorder="1" applyFont="1">
      <alignment horizontal="left" shrinkToFit="0" wrapText="1"/>
    </xf>
    <xf borderId="45" fillId="3" fontId="1" numFmtId="0" xfId="0" applyAlignment="1" applyBorder="1" applyFont="1">
      <alignment horizontal="left" shrinkToFit="0" wrapText="1"/>
    </xf>
    <xf borderId="51" fillId="4" fontId="12" numFmtId="0" xfId="0" applyAlignment="1" applyBorder="1" applyFont="1">
      <alignment horizontal="center" shrinkToFit="0" vertical="center" wrapText="1"/>
    </xf>
    <xf borderId="58" fillId="3" fontId="1" numFmtId="0" xfId="0" applyAlignment="1" applyBorder="1" applyFont="1">
      <alignment horizontal="right" shrinkToFit="0" wrapText="1"/>
    </xf>
    <xf borderId="54" fillId="4" fontId="2" numFmtId="0" xfId="0" applyAlignment="1" applyBorder="1" applyFont="1">
      <alignment horizontal="center" shrinkToFit="0" vertical="center" wrapText="1"/>
    </xf>
    <xf borderId="86" fillId="0" fontId="4" numFmtId="0" xfId="0" applyBorder="1" applyFont="1"/>
    <xf borderId="87" fillId="0" fontId="4" numFmtId="0" xfId="0" applyBorder="1" applyFont="1"/>
    <xf borderId="88" fillId="0" fontId="4" numFmtId="0" xfId="0" applyBorder="1" applyFont="1"/>
    <xf borderId="89" fillId="4" fontId="1" numFmtId="0" xfId="0" applyAlignment="1" applyBorder="1" applyFont="1">
      <alignment horizontal="center" vertical="center"/>
    </xf>
    <xf borderId="90" fillId="0" fontId="4" numFmtId="0" xfId="0" applyBorder="1" applyFont="1"/>
    <xf borderId="91" fillId="0" fontId="4" numFmtId="0" xfId="0" applyBorder="1" applyFont="1"/>
    <xf borderId="51" fillId="4" fontId="11" numFmtId="0" xfId="0" applyAlignment="1" applyBorder="1" applyFont="1">
      <alignment horizontal="center" shrinkToFit="0" vertical="center" wrapText="1"/>
    </xf>
    <xf borderId="92" fillId="4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vertical="center"/>
    </xf>
    <xf borderId="93" fillId="0" fontId="4" numFmtId="0" xfId="0" applyBorder="1" applyFont="1"/>
    <xf borderId="47" fillId="3" fontId="1" numFmtId="0" xfId="0" applyBorder="1" applyFont="1"/>
    <xf borderId="44" fillId="3" fontId="1" numFmtId="0" xfId="0" applyAlignment="1" applyBorder="1" applyFont="1">
      <alignment horizontal="center"/>
    </xf>
    <xf borderId="47" fillId="3" fontId="1" numFmtId="0" xfId="0" applyAlignment="1" applyBorder="1" applyFont="1">
      <alignment horizontal="center"/>
    </xf>
    <xf borderId="43" fillId="3" fontId="1" numFmtId="0" xfId="0" applyBorder="1" applyFont="1"/>
    <xf borderId="41" fillId="3" fontId="2" numFmtId="0" xfId="0" applyAlignment="1" applyBorder="1" applyFont="1">
      <alignment horizontal="center" readingOrder="0" shrinkToFit="0" vertical="center" wrapText="1"/>
    </xf>
    <xf borderId="94" fillId="3" fontId="2" numFmtId="0" xfId="0" applyAlignment="1" applyBorder="1" applyFont="1">
      <alignment horizontal="center" readingOrder="0" shrinkToFit="0" vertical="center" wrapText="1"/>
    </xf>
    <xf borderId="95" fillId="3" fontId="1" numFmtId="0" xfId="0" applyAlignment="1" applyBorder="1" applyFont="1">
      <alignment horizontal="center" shrinkToFit="0" vertical="center" wrapText="1"/>
    </xf>
    <xf borderId="96" fillId="4" fontId="2" numFmtId="0" xfId="0" applyAlignment="1" applyBorder="1" applyFont="1">
      <alignment horizontal="center" shrinkToFit="0" vertical="center" wrapText="1"/>
    </xf>
    <xf borderId="54" fillId="4" fontId="1" numFmtId="0" xfId="0" applyAlignment="1" applyBorder="1" applyFont="1">
      <alignment horizontal="center" vertical="center"/>
    </xf>
    <xf borderId="45" fillId="3" fontId="1" numFmtId="0" xfId="0" applyAlignment="1" applyBorder="1" applyFont="1">
      <alignment horizontal="center" vertical="center"/>
    </xf>
    <xf borderId="97" fillId="0" fontId="4" numFmtId="0" xfId="0" applyBorder="1" applyFont="1"/>
    <xf borderId="98" fillId="0" fontId="4" numFmtId="0" xfId="0" applyBorder="1" applyFont="1"/>
    <xf borderId="99" fillId="0" fontId="4" numFmtId="0" xfId="0" applyBorder="1" applyFont="1"/>
    <xf borderId="51" fillId="0" fontId="1" numFmtId="0" xfId="0" applyAlignment="1" applyBorder="1" applyFont="1">
      <alignment horizontal="center" vertical="center"/>
    </xf>
    <xf borderId="100" fillId="4" fontId="2" numFmtId="0" xfId="0" applyAlignment="1" applyBorder="1" applyFont="1">
      <alignment horizontal="center" readingOrder="0" shrinkToFit="0" vertical="center" wrapText="1"/>
    </xf>
    <xf borderId="51" fillId="4" fontId="2" numFmtId="0" xfId="0" applyAlignment="1" applyBorder="1" applyFont="1">
      <alignment horizontal="center" readingOrder="0" shrinkToFit="0" vertical="center" wrapText="1"/>
    </xf>
    <xf borderId="101" fillId="4" fontId="2" numFmtId="0" xfId="0" applyAlignment="1" applyBorder="1" applyFont="1">
      <alignment horizontal="center" readingOrder="0" vertical="center"/>
    </xf>
    <xf borderId="102" fillId="3" fontId="1" numFmtId="0" xfId="0" applyAlignment="1" applyBorder="1" applyFont="1">
      <alignment horizontal="center" shrinkToFit="0" vertical="center" wrapText="1"/>
    </xf>
    <xf borderId="96" fillId="4" fontId="2" numFmtId="0" xfId="0" applyAlignment="1" applyBorder="1" applyFont="1">
      <alignment horizontal="center" readingOrder="0" shrinkToFit="0" vertical="center" wrapText="1"/>
    </xf>
    <xf borderId="103" fillId="0" fontId="4" numFmtId="0" xfId="0" applyBorder="1" applyFont="1"/>
    <xf borderId="43" fillId="3" fontId="1" numFmtId="0" xfId="0" applyAlignment="1" applyBorder="1" applyFont="1">
      <alignment horizontal="center" vertical="center"/>
    </xf>
    <xf borderId="47" fillId="3" fontId="1" numFmtId="0" xfId="0" applyAlignment="1" applyBorder="1" applyFont="1">
      <alignment horizontal="center" vertical="center"/>
    </xf>
    <xf borderId="46" fillId="3" fontId="1" numFmtId="0" xfId="0" applyAlignment="1" applyBorder="1" applyFont="1">
      <alignment horizontal="center"/>
    </xf>
    <xf borderId="100" fillId="4" fontId="1" numFmtId="0" xfId="0" applyAlignment="1" applyBorder="1" applyFont="1">
      <alignment horizontal="center" shrinkToFit="0" vertical="center" wrapText="1"/>
    </xf>
    <xf borderId="101" fillId="4" fontId="13" numFmtId="0" xfId="0" applyAlignment="1" applyBorder="1" applyFont="1">
      <alignment horizontal="center" vertical="bottom"/>
    </xf>
    <xf borderId="104" fillId="3" fontId="1" numFmtId="0" xfId="0" applyAlignment="1" applyBorder="1" applyFont="1">
      <alignment horizontal="center" shrinkToFit="0" vertical="center" wrapText="1"/>
    </xf>
    <xf borderId="96" fillId="4" fontId="1" numFmtId="0" xfId="0" applyAlignment="1" applyBorder="1" applyFont="1">
      <alignment horizontal="center" shrinkToFit="0" vertical="center" wrapText="1"/>
    </xf>
    <xf borderId="105" fillId="0" fontId="4" numFmtId="0" xfId="0" applyBorder="1" applyFont="1"/>
    <xf borderId="106" fillId="0" fontId="4" numFmtId="0" xfId="0" applyBorder="1" applyFont="1"/>
    <xf borderId="107" fillId="0" fontId="4" numFmtId="0" xfId="0" applyBorder="1" applyFont="1"/>
    <xf borderId="108" fillId="0" fontId="4" numFmtId="0" xfId="0" applyBorder="1" applyFont="1"/>
    <xf borderId="109" fillId="3" fontId="1" numFmtId="0" xfId="0" applyBorder="1" applyFont="1"/>
    <xf borderId="110" fillId="3" fontId="1" numFmtId="0" xfId="0" applyBorder="1" applyFont="1"/>
    <xf borderId="111" fillId="3" fontId="1" numFmtId="0" xfId="0" applyBorder="1" applyFont="1"/>
    <xf borderId="8" fillId="0" fontId="10" numFmtId="0" xfId="0" applyAlignment="1" applyBorder="1" applyFont="1">
      <alignment horizontal="center" shrinkToFit="0" wrapText="1"/>
    </xf>
    <xf borderId="0" fillId="0" fontId="1" numFmtId="0" xfId="0" applyAlignment="1" applyFont="1">
      <alignment shrinkToFit="0" wrapText="1"/>
    </xf>
    <xf borderId="7" fillId="2" fontId="3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1" fillId="2" fontId="3" numFmtId="0" xfId="0" applyAlignment="1" applyBorder="1" applyFont="1">
      <alignment horizontal="center" vertical="center"/>
    </xf>
    <xf borderId="112" fillId="3" fontId="1" numFmtId="0" xfId="0" applyAlignment="1" applyBorder="1" applyFont="1">
      <alignment horizontal="right" textRotation="90" vertical="center"/>
    </xf>
    <xf borderId="45" fillId="3" fontId="1" numFmtId="0" xfId="0" applyAlignment="1" applyBorder="1" applyFont="1">
      <alignment horizontal="center"/>
    </xf>
    <xf borderId="113" fillId="0" fontId="4" numFmtId="0" xfId="0" applyBorder="1" applyFont="1"/>
    <xf borderId="114" fillId="5" fontId="9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horizontal="center" readingOrder="0" vertical="center"/>
    </xf>
    <xf borderId="17" fillId="6" fontId="1" numFmtId="0" xfId="0" applyAlignment="1" applyBorder="1" applyFill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115" fillId="0" fontId="4" numFmtId="0" xfId="0" applyBorder="1" applyFont="1"/>
    <xf borderId="116" fillId="0" fontId="4" numFmtId="0" xfId="0" applyBorder="1" applyFont="1"/>
    <xf borderId="17" fillId="5" fontId="9" numFmtId="0" xfId="0" applyAlignment="1" applyBorder="1" applyFont="1">
      <alignment shrinkToFit="0" vertical="center" wrapText="1"/>
    </xf>
    <xf borderId="101" fillId="4" fontId="13" numFmtId="0" xfId="0" applyAlignment="1" applyBorder="1" applyFont="1">
      <alignment horizontal="center" vertical="bottom"/>
    </xf>
    <xf borderId="0" fillId="0" fontId="1" numFmtId="0" xfId="0" applyAlignment="1" applyFont="1">
      <alignment shrinkToFit="0" vertical="center" wrapText="1"/>
    </xf>
    <xf borderId="117" fillId="2" fontId="5" numFmtId="0" xfId="0" applyAlignment="1" applyBorder="1" applyFont="1">
      <alignment readingOrder="0" shrinkToFit="0" vertical="center" wrapText="1"/>
    </xf>
    <xf borderId="118" fillId="2" fontId="3" numFmtId="0" xfId="0" applyAlignment="1" applyBorder="1" applyFont="1">
      <alignment horizontal="center" shrinkToFit="0" vertical="center" wrapText="1"/>
    </xf>
    <xf borderId="119" fillId="0" fontId="4" numFmtId="0" xfId="0" applyBorder="1" applyFont="1"/>
    <xf borderId="6" fillId="2" fontId="14" numFmtId="0" xfId="0" applyAlignment="1" applyBorder="1" applyFont="1">
      <alignment readingOrder="0" shrinkToFit="0" vertical="center" wrapText="1"/>
    </xf>
    <xf borderId="120" fillId="3" fontId="6" numFmtId="0" xfId="0" applyAlignment="1" applyBorder="1" applyFont="1">
      <alignment horizontal="left" shrinkToFit="0" vertical="center" wrapText="1"/>
    </xf>
    <xf borderId="121" fillId="0" fontId="4" numFmtId="0" xfId="0" applyBorder="1" applyFont="1"/>
    <xf borderId="117" fillId="3" fontId="1" numFmtId="0" xfId="0" applyBorder="1" applyFont="1"/>
    <xf borderId="5" fillId="3" fontId="1" numFmtId="0" xfId="0" applyBorder="1" applyFont="1"/>
    <xf borderId="6" fillId="3" fontId="1" numFmtId="0" xfId="0" applyBorder="1" applyFont="1"/>
    <xf borderId="122" fillId="4" fontId="1" numFmtId="0" xfId="0" applyAlignment="1" applyBorder="1" applyFont="1">
      <alignment shrinkToFit="0" vertical="center" wrapText="1"/>
    </xf>
    <xf borderId="123" fillId="4" fontId="2" numFmtId="0" xfId="0" applyAlignment="1" applyBorder="1" applyFont="1">
      <alignment horizontal="center" readingOrder="0" shrinkToFit="0" vertical="center" wrapText="1"/>
    </xf>
    <xf borderId="18" fillId="4" fontId="1" numFmtId="0" xfId="0" applyBorder="1" applyFont="1"/>
    <xf borderId="45" fillId="3" fontId="6" numFmtId="0" xfId="0" applyAlignment="1" applyBorder="1" applyFont="1">
      <alignment shrinkToFit="0" wrapText="1"/>
    </xf>
    <xf borderId="85" fillId="3" fontId="15" numFmtId="0" xfId="0" applyAlignment="1" applyBorder="1" applyFont="1">
      <alignment horizontal="center" vertical="center"/>
    </xf>
    <xf borderId="45" fillId="3" fontId="6" numFmtId="0" xfId="0" applyAlignment="1" applyBorder="1" applyFont="1">
      <alignment horizontal="center" vertical="center"/>
    </xf>
    <xf borderId="46" fillId="3" fontId="1" numFmtId="0" xfId="0" applyAlignment="1" applyBorder="1" applyFont="1">
      <alignment horizontal="center" vertical="center"/>
    </xf>
    <xf borderId="124" fillId="5" fontId="6" numFmtId="0" xfId="0" applyAlignment="1" applyBorder="1" applyFont="1">
      <alignment horizontal="center" vertical="center"/>
    </xf>
    <xf borderId="125" fillId="0" fontId="4" numFmtId="0" xfId="0" applyBorder="1" applyFont="1"/>
    <xf borderId="46" fillId="3" fontId="6" numFmtId="0" xfId="0" applyAlignment="1" applyBorder="1" applyFont="1">
      <alignment horizontal="center" vertical="center"/>
    </xf>
    <xf borderId="126" fillId="3" fontId="1" numFmtId="0" xfId="0" applyBorder="1" applyFont="1"/>
    <xf borderId="127" fillId="3" fontId="1" numFmtId="0" xfId="0" applyBorder="1" applyFont="1"/>
    <xf borderId="122" fillId="4" fontId="1" numFmtId="0" xfId="0" applyAlignment="1" applyBorder="1" applyFont="1">
      <alignment shrinkToFit="0" wrapText="1"/>
    </xf>
    <xf borderId="128" fillId="5" fontId="9" numFmtId="0" xfId="0" applyAlignment="1" applyBorder="1" applyFont="1">
      <alignment shrinkToFit="0" vertical="center" wrapText="1"/>
    </xf>
    <xf borderId="45" fillId="3" fontId="9" numFmtId="0" xfId="0" applyAlignment="1" applyBorder="1" applyFont="1">
      <alignment horizontal="center" shrinkToFit="0" textRotation="90" vertical="center" wrapText="1"/>
    </xf>
    <xf borderId="122" fillId="4" fontId="1" numFmtId="0" xfId="0" applyBorder="1" applyFont="1"/>
    <xf borderId="25" fillId="5" fontId="6" numFmtId="0" xfId="0" applyAlignment="1" applyBorder="1" applyFont="1">
      <alignment horizontal="center" shrinkToFit="0" vertical="center" wrapText="1"/>
    </xf>
    <xf borderId="54" fillId="5" fontId="6" numFmtId="0" xfId="0" applyAlignment="1" applyBorder="1" applyFont="1">
      <alignment horizontal="center" shrinkToFit="0" vertical="center" wrapText="1"/>
    </xf>
    <xf borderId="85" fillId="3" fontId="1" numFmtId="0" xfId="0" applyAlignment="1" applyBorder="1" applyFont="1">
      <alignment horizontal="center" vertical="center"/>
    </xf>
    <xf borderId="54" fillId="6" fontId="1" numFmtId="0" xfId="0" applyAlignment="1" applyBorder="1" applyFont="1">
      <alignment horizontal="center" vertical="center"/>
    </xf>
    <xf borderId="54" fillId="5" fontId="1" numFmtId="0" xfId="0" applyAlignment="1" applyBorder="1" applyFont="1">
      <alignment horizontal="center" shrinkToFit="0" vertical="center" wrapText="1"/>
    </xf>
    <xf borderId="92" fillId="3" fontId="1" numFmtId="0" xfId="0" applyAlignment="1" applyBorder="1" applyFont="1">
      <alignment horizontal="center" vertical="center"/>
    </xf>
    <xf borderId="54" fillId="6" fontId="1" numFmtId="9" xfId="0" applyAlignment="1" applyBorder="1" applyFont="1" applyNumberFormat="1">
      <alignment horizontal="center" shrinkToFit="0" vertical="center" wrapText="1"/>
    </xf>
    <xf borderId="101" fillId="4" fontId="1" numFmtId="0" xfId="0" applyAlignment="1" applyBorder="1" applyFont="1">
      <alignment horizontal="center" shrinkToFit="0" wrapText="1"/>
    </xf>
    <xf borderId="123" fillId="4" fontId="1" numFmtId="0" xfId="0" applyAlignment="1" applyBorder="1" applyFont="1">
      <alignment horizontal="center" shrinkToFit="0" vertical="center" wrapText="1"/>
    </xf>
    <xf borderId="25" fillId="5" fontId="16" numFmtId="0" xfId="0" applyAlignment="1" applyBorder="1" applyFont="1">
      <alignment horizontal="center" shrinkToFit="0" vertical="center" wrapText="1"/>
    </xf>
    <xf borderId="129" fillId="3" fontId="1" numFmtId="0" xfId="0" applyBorder="1" applyFont="1"/>
    <xf borderId="130" fillId="3" fontId="1" numFmtId="0" xfId="0" applyBorder="1" applyFont="1"/>
    <xf borderId="131" fillId="0" fontId="4" numFmtId="0" xfId="0" applyBorder="1" applyFont="1"/>
    <xf borderId="132" fillId="0" fontId="4" numFmtId="0" xfId="0" applyBorder="1" applyFont="1"/>
    <xf borderId="133" fillId="4" fontId="1" numFmtId="0" xfId="0" applyBorder="1" applyFont="1"/>
    <xf borderId="134" fillId="4" fontId="1" numFmtId="0" xfId="0" applyAlignment="1" applyBorder="1" applyFont="1">
      <alignment horizontal="center" shrinkToFit="0" vertical="center" wrapText="1"/>
    </xf>
    <xf borderId="31" fillId="4" fontId="1" numFmtId="0" xfId="0" applyBorder="1" applyFont="1"/>
    <xf borderId="27" fillId="5" fontId="6" numFmtId="0" xfId="0" applyAlignment="1" applyBorder="1" applyFont="1">
      <alignment horizontal="center" shrinkToFit="0" vertical="center" wrapText="1"/>
    </xf>
    <xf borderId="30" fillId="4" fontId="2" numFmtId="0" xfId="0" applyAlignment="1" applyBorder="1" applyFont="1">
      <alignment horizontal="center" vertical="center"/>
    </xf>
    <xf borderId="0" fillId="0" fontId="9" numFmtId="0" xfId="0" applyAlignment="1" applyFont="1">
      <alignment shrinkToFit="0" textRotation="90" vertical="center" wrapText="1"/>
    </xf>
    <xf borderId="0" fillId="0" fontId="9" numFmtId="0" xfId="0" applyAlignment="1" applyFont="1">
      <alignment shrinkToFit="0" vertical="center" wrapText="1"/>
    </xf>
    <xf borderId="135" fillId="3" fontId="1" numFmtId="0" xfId="0" applyBorder="1" applyFont="1"/>
    <xf borderId="136" fillId="3" fontId="1" numFmtId="0" xfId="0" applyAlignment="1" applyBorder="1" applyFont="1">
      <alignment horizontal="center"/>
    </xf>
    <xf borderId="136" fillId="2" fontId="3" numFmtId="0" xfId="0" applyAlignment="1" applyBorder="1" applyFont="1">
      <alignment horizontal="center"/>
    </xf>
    <xf borderId="110" fillId="3" fontId="6" numFmtId="0" xfId="0" applyBorder="1" applyFont="1"/>
    <xf borderId="110" fillId="3" fontId="1" numFmtId="0" xfId="0" applyAlignment="1" applyBorder="1" applyFont="1">
      <alignment horizontal="center" vertical="center"/>
    </xf>
    <xf borderId="111" fillId="3" fontId="1" numFmtId="0" xfId="0" applyAlignment="1" applyBorder="1" applyFont="1">
      <alignment horizontal="center" vertical="center"/>
    </xf>
    <xf borderId="137" fillId="3" fontId="1" numFmtId="0" xfId="0" applyBorder="1" applyFont="1"/>
    <xf borderId="100" fillId="3" fontId="1" numFmtId="0" xfId="0" applyAlignment="1" applyBorder="1" applyFont="1">
      <alignment horizontal="center" shrinkToFit="0" vertical="center" wrapText="1"/>
    </xf>
    <xf borderId="51" fillId="4" fontId="1" numFmtId="0" xfId="0" applyAlignment="1" applyBorder="1" applyFont="1">
      <alignment horizontal="center" vertical="center"/>
    </xf>
    <xf borderId="138" fillId="4" fontId="1" numFmtId="0" xfId="0" applyAlignment="1" applyBorder="1" applyFont="1">
      <alignment horizontal="center" vertical="top"/>
    </xf>
    <xf borderId="139" fillId="3" fontId="1" numFmtId="0" xfId="0" applyBorder="1" applyFont="1"/>
    <xf borderId="140" fillId="0" fontId="4" numFmtId="0" xfId="0" applyBorder="1" applyFont="1"/>
    <xf borderId="0" fillId="3" fontId="1" numFmtId="0" xfId="0" applyFont="1"/>
    <xf borderId="100" fillId="3" fontId="1" numFmtId="0" xfId="0" applyAlignment="1" applyBorder="1" applyFont="1">
      <alignment horizontal="center" vertical="center"/>
    </xf>
    <xf borderId="51" fillId="4" fontId="2" numFmtId="0" xfId="0" applyAlignment="1" applyBorder="1" applyFont="1">
      <alignment horizontal="center" readingOrder="0" vertical="center"/>
    </xf>
    <xf borderId="45" fillId="3" fontId="2" numFmtId="0" xfId="0" applyAlignment="1" applyBorder="1" applyFont="1">
      <alignment horizontal="center" readingOrder="0" vertical="center"/>
    </xf>
    <xf borderId="139" fillId="3" fontId="10" numFmtId="0" xfId="0" applyAlignment="1" applyBorder="1" applyFont="1">
      <alignment horizontal="center"/>
    </xf>
    <xf borderId="44" fillId="3" fontId="2" numFmtId="0" xfId="0" applyAlignment="1" applyBorder="1" applyFont="1">
      <alignment horizontal="center" readingOrder="0"/>
    </xf>
    <xf borderId="25" fillId="3" fontId="1" numFmtId="0" xfId="0" applyAlignment="1" applyBorder="1" applyFont="1">
      <alignment horizontal="center" vertical="center"/>
    </xf>
    <xf borderId="123" fillId="4" fontId="2" numFmtId="0" xfId="0" applyAlignment="1" applyBorder="1" applyFont="1">
      <alignment horizontal="center" readingOrder="0" vertical="center"/>
    </xf>
    <xf borderId="139" fillId="3" fontId="1" numFmtId="0" xfId="0" applyAlignment="1" applyBorder="1" applyFont="1">
      <alignment horizontal="center"/>
    </xf>
    <xf borderId="141" fillId="3" fontId="1" numFmtId="0" xfId="0" applyBorder="1" applyFont="1"/>
    <xf borderId="75" fillId="2" fontId="17" numFmtId="0" xfId="0" applyAlignment="1" applyBorder="1" applyFont="1">
      <alignment horizontal="center" vertical="center"/>
    </xf>
    <xf borderId="25" fillId="3" fontId="1" numFmtId="0" xfId="0" applyAlignment="1" applyBorder="1" applyFont="1">
      <alignment horizontal="center" vertical="top"/>
    </xf>
    <xf borderId="123" fillId="3" fontId="1" numFmtId="0" xfId="0" applyAlignment="1" applyBorder="1" applyFont="1">
      <alignment horizontal="center" vertical="top"/>
    </xf>
    <xf borderId="142" fillId="6" fontId="1" numFmtId="0" xfId="0" applyAlignment="1" applyBorder="1" applyFont="1">
      <alignment horizontal="center" vertical="top"/>
    </xf>
    <xf borderId="143" fillId="0" fontId="4" numFmtId="0" xfId="0" applyBorder="1" applyFont="1"/>
    <xf borderId="144" fillId="6" fontId="18" numFmtId="0" xfId="0" applyAlignment="1" applyBorder="1" applyFont="1">
      <alignment horizontal="center" shrinkToFit="0" vertical="top" wrapText="1"/>
    </xf>
    <xf borderId="144" fillId="6" fontId="18" numFmtId="0" xfId="0" applyAlignment="1" applyBorder="1" applyFont="1">
      <alignment horizontal="center" vertical="top"/>
    </xf>
    <xf borderId="145" fillId="0" fontId="4" numFmtId="0" xfId="0" applyBorder="1" applyFont="1"/>
    <xf borderId="25" fillId="4" fontId="1" numFmtId="0" xfId="0" applyAlignment="1" applyBorder="1" applyFont="1">
      <alignment horizontal="center" vertical="top"/>
    </xf>
    <xf borderId="123" fillId="4" fontId="1" numFmtId="0" xfId="0" applyAlignment="1" applyBorder="1" applyFont="1">
      <alignment horizontal="center" vertical="top"/>
    </xf>
    <xf borderId="25" fillId="6" fontId="18" numFmtId="0" xfId="0" applyAlignment="1" applyBorder="1" applyFont="1">
      <alignment horizontal="center" vertical="center"/>
    </xf>
    <xf borderId="123" fillId="6" fontId="6" numFmtId="0" xfId="0" applyAlignment="1" applyBorder="1" applyFont="1">
      <alignment horizontal="center" shrinkToFit="0" vertical="center" wrapText="1"/>
    </xf>
    <xf borderId="123" fillId="6" fontId="6" numFmtId="0" xfId="0" applyAlignment="1" applyBorder="1" applyFont="1">
      <alignment horizontal="center" vertical="center"/>
    </xf>
    <xf borderId="27" fillId="4" fontId="1" numFmtId="0" xfId="0" applyAlignment="1" applyBorder="1" applyFont="1">
      <alignment horizontal="center" vertical="top"/>
    </xf>
    <xf borderId="134" fillId="4" fontId="1" numFmtId="0" xfId="0" applyAlignment="1" applyBorder="1" applyFont="1">
      <alignment horizontal="center" vertical="top"/>
    </xf>
    <xf borderId="27" fillId="6" fontId="18" numFmtId="0" xfId="0" applyAlignment="1" applyBorder="1" applyFont="1">
      <alignment horizontal="center" vertical="center"/>
    </xf>
    <xf borderId="134" fillId="6" fontId="6" numFmtId="0" xfId="0" applyAlignment="1" applyBorder="1" applyFont="1">
      <alignment horizontal="center" shrinkToFit="0" vertical="center" wrapText="1"/>
    </xf>
    <xf borderId="134" fillId="6" fontId="6" numFmtId="0" xfId="0" applyAlignment="1" applyBorder="1" applyFont="1">
      <alignment horizontal="center" vertical="center"/>
    </xf>
    <xf borderId="146" fillId="0" fontId="4" numFmtId="0" xfId="0" applyBorder="1" applyFont="1"/>
    <xf borderId="17" fillId="3" fontId="1" numFmtId="0" xfId="0" applyAlignment="1" applyBorder="1" applyFont="1">
      <alignment horizontal="center" vertical="center"/>
    </xf>
    <xf borderId="63" fillId="3" fontId="6" numFmtId="0" xfId="0" applyAlignment="1" applyBorder="1" applyFont="1">
      <alignment horizontal="center" shrinkToFit="0" vertical="center" wrapText="1"/>
    </xf>
    <xf borderId="17" fillId="4" fontId="1" numFmtId="0" xfId="0" applyBorder="1" applyFont="1"/>
    <xf borderId="7" fillId="2" fontId="3" numFmtId="0" xfId="0" applyAlignment="1" applyBorder="1" applyFont="1">
      <alignment horizontal="center" shrinkToFit="0" vertical="center" wrapText="1"/>
    </xf>
    <xf borderId="11" fillId="5" fontId="6" numFmtId="0" xfId="0" applyAlignment="1" applyBorder="1" applyFont="1">
      <alignment horizontal="center" shrinkToFit="0" vertical="center" wrapText="1"/>
    </xf>
    <xf borderId="41" fillId="5" fontId="6" numFmtId="0" xfId="0" applyAlignment="1" applyBorder="1" applyFont="1">
      <alignment horizontal="center" shrinkToFit="0" vertical="center" wrapText="1"/>
    </xf>
    <xf borderId="42" fillId="5" fontId="6" numFmtId="0" xfId="0" applyAlignment="1" applyBorder="1" applyFont="1">
      <alignment horizontal="center" shrinkToFit="0" vertical="center" wrapText="1"/>
    </xf>
    <xf borderId="147" fillId="5" fontId="6" numFmtId="0" xfId="0" applyAlignment="1" applyBorder="1" applyFont="1">
      <alignment horizontal="center" shrinkToFit="0" vertical="center" wrapText="1"/>
    </xf>
    <xf borderId="148" fillId="5" fontId="6" numFmtId="0" xfId="0" applyAlignment="1" applyBorder="1" applyFont="1">
      <alignment horizontal="center" shrinkToFit="0" vertical="center" wrapText="1"/>
    </xf>
    <xf borderId="58" fillId="5" fontId="6" numFmtId="0" xfId="0" applyAlignment="1" applyBorder="1" applyFont="1">
      <alignment horizontal="center" shrinkToFit="0" vertical="center" wrapText="1"/>
    </xf>
    <xf borderId="147" fillId="4" fontId="2" numFmtId="0" xfId="0" applyAlignment="1" applyBorder="1" applyFont="1">
      <alignment horizontal="center" readingOrder="0" shrinkToFit="0" vertical="center" wrapText="1"/>
    </xf>
    <xf borderId="148" fillId="4" fontId="1" numFmtId="0" xfId="0" applyAlignment="1" applyBorder="1" applyFont="1">
      <alignment horizontal="center" shrinkToFit="0" vertical="center" wrapText="1"/>
    </xf>
    <xf borderId="148" fillId="4" fontId="2" numFmtId="0" xfId="0" applyAlignment="1" applyBorder="1" applyFont="1">
      <alignment horizontal="center" readingOrder="0" shrinkToFit="0" vertical="center" wrapText="1"/>
    </xf>
    <xf borderId="58" fillId="4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top" wrapText="1"/>
    </xf>
    <xf borderId="147" fillId="4" fontId="1" numFmtId="0" xfId="0" applyAlignment="1" applyBorder="1" applyFont="1">
      <alignment horizontal="center" shrinkToFit="0" vertical="center" wrapText="1"/>
    </xf>
    <xf borderId="42" fillId="4" fontId="1" numFmtId="0" xfId="0" applyAlignment="1" applyBorder="1" applyFont="1">
      <alignment horizontal="center" shrinkToFit="0" vertical="center" wrapText="1"/>
    </xf>
    <xf borderId="58" fillId="4" fontId="1" numFmtId="9" xfId="0" applyAlignment="1" applyBorder="1" applyFont="1" applyNumberFormat="1">
      <alignment horizontal="center" shrinkToFit="0" vertical="center" wrapText="1"/>
    </xf>
    <xf borderId="51" fillId="4" fontId="6" numFmtId="0" xfId="0" applyAlignment="1" applyBorder="1" applyFont="1">
      <alignment horizontal="center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149" fillId="2" fontId="19" numFmtId="0" xfId="0" applyAlignment="1" applyBorder="1" applyFont="1">
      <alignment horizontal="center" shrinkToFit="0" textRotation="90" vertical="center" wrapText="1"/>
    </xf>
    <xf borderId="7" fillId="5" fontId="1" numFmtId="0" xfId="0" applyAlignment="1" applyBorder="1" applyFont="1">
      <alignment horizontal="center" shrinkToFit="0" vertical="center" wrapText="1"/>
    </xf>
    <xf borderId="11" fillId="4" fontId="1" numFmtId="0" xfId="0" applyAlignment="1" applyBorder="1" applyFont="1">
      <alignment horizontal="left" shrinkToFit="0" vertical="top" wrapText="1"/>
    </xf>
    <xf borderId="150" fillId="4" fontId="2" numFmtId="0" xfId="0" applyAlignment="1" applyBorder="1" applyFont="1">
      <alignment horizontal="center" readingOrder="0" shrinkToFit="0" vertical="center" wrapText="1"/>
    </xf>
    <xf borderId="151" fillId="0" fontId="4" numFmtId="0" xfId="0" applyBorder="1" applyFont="1"/>
    <xf borderId="152" fillId="2" fontId="3" numFmtId="0" xfId="0" applyAlignment="1" applyBorder="1" applyFont="1">
      <alignment horizontal="center" shrinkToFit="0" vertical="center" wrapText="1"/>
    </xf>
    <xf borderId="153" fillId="0" fontId="4" numFmtId="0" xfId="0" applyBorder="1" applyFont="1"/>
    <xf borderId="25" fillId="5" fontId="1" numFmtId="0" xfId="0" applyAlignment="1" applyBorder="1" applyFont="1">
      <alignment horizontal="center" shrinkToFit="0" vertical="center" wrapText="1"/>
    </xf>
    <xf borderId="154" fillId="0" fontId="4" numFmtId="0" xfId="0" applyBorder="1" applyFont="1"/>
    <xf borderId="38" fillId="5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top" wrapText="1"/>
    </xf>
    <xf borderId="25" fillId="3" fontId="1" numFmtId="0" xfId="0" applyAlignment="1" applyBorder="1" applyFont="1">
      <alignment horizontal="center" shrinkToFit="0" vertical="center" wrapText="1"/>
    </xf>
    <xf borderId="155" fillId="4" fontId="1" numFmtId="0" xfId="0" applyAlignment="1" applyBorder="1" applyFont="1">
      <alignment horizontal="center" shrinkToFit="0" vertical="center" wrapText="1"/>
    </xf>
    <xf borderId="38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156" fillId="4" fontId="1" numFmtId="0" xfId="0" applyAlignment="1" applyBorder="1" applyFont="1">
      <alignment horizontal="center" shrinkToFit="0" vertical="center" wrapText="1"/>
    </xf>
    <xf borderId="157" fillId="3" fontId="1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139" fillId="2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47" fillId="4" fontId="2" numFmtId="0" xfId="0" applyAlignment="1" applyBorder="1" applyFont="1">
      <alignment horizontal="center" readingOrder="0" shrinkToFit="0" vertical="top" wrapText="1"/>
    </xf>
    <xf borderId="147" fillId="4" fontId="1" numFmtId="0" xfId="0" applyAlignment="1" applyBorder="1" applyFont="1">
      <alignment horizontal="left" shrinkToFit="0" vertical="top" wrapText="1"/>
    </xf>
    <xf borderId="17" fillId="5" fontId="1" numFmtId="0" xfId="0" applyAlignment="1" applyBorder="1" applyFont="1">
      <alignment shrinkToFit="0" vertical="center" wrapText="1"/>
    </xf>
    <xf borderId="38" fillId="4" fontId="1" numFmtId="0" xfId="0" applyAlignment="1" applyBorder="1" applyFont="1">
      <alignment horizontal="center" shrinkToFit="0" vertical="center" wrapText="1"/>
    </xf>
    <xf borderId="123" fillId="5" fontId="1" numFmtId="0" xfId="0" applyAlignment="1" applyBorder="1" applyFont="1">
      <alignment horizontal="center" shrinkToFit="0" vertical="center" wrapText="1"/>
    </xf>
    <xf borderId="17" fillId="5" fontId="1" numFmtId="0" xfId="0" applyAlignment="1" applyBorder="1" applyFont="1">
      <alignment horizontal="center" shrinkToFit="0" vertical="center" wrapText="1"/>
    </xf>
    <xf borderId="17" fillId="4" fontId="2" numFmtId="0" xfId="0" applyAlignment="1" applyBorder="1" applyFont="1">
      <alignment horizontal="center" readingOrder="0" shrinkToFit="0" vertical="center" wrapText="1"/>
    </xf>
    <xf borderId="77" fillId="4" fontId="1" numFmtId="0" xfId="0" applyAlignment="1" applyBorder="1" applyFont="1">
      <alignment horizontal="center" shrinkToFit="0" vertical="center" wrapText="1"/>
    </xf>
    <xf borderId="120" fillId="4" fontId="1" numFmtId="0" xfId="0" applyAlignment="1" applyBorder="1" applyFont="1">
      <alignment horizontal="center" shrinkToFit="0" vertical="center" wrapText="1"/>
    </xf>
    <xf borderId="158" fillId="0" fontId="4" numFmtId="0" xfId="0" applyBorder="1" applyFont="1"/>
    <xf borderId="150" fillId="4" fontId="1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5" fillId="5" fontId="1" numFmtId="49" xfId="0" applyAlignment="1" applyBorder="1" applyFont="1" applyNumberFormat="1">
      <alignment horizontal="center" shrinkToFit="0" vertical="center" wrapText="1"/>
    </xf>
    <xf borderId="37" fillId="5" fontId="1" numFmtId="49" xfId="0" applyAlignment="1" applyBorder="1" applyFont="1" applyNumberFormat="1">
      <alignment horizontal="center" shrinkToFit="0" vertical="center" wrapText="1"/>
    </xf>
    <xf borderId="17" fillId="5" fontId="6" numFmtId="0" xfId="0" applyAlignment="1" applyBorder="1" applyFont="1">
      <alignment horizontal="center" shrinkToFit="0" vertical="center" wrapText="1"/>
    </xf>
    <xf borderId="87" fillId="0" fontId="1" numFmtId="0" xfId="0" applyAlignment="1" applyBorder="1" applyFont="1">
      <alignment horizontal="center" shrinkToFit="0" vertical="center" wrapText="1"/>
    </xf>
    <xf borderId="159" fillId="3" fontId="1" numFmtId="0" xfId="0" applyAlignment="1" applyBorder="1" applyFont="1">
      <alignment horizontal="center" shrinkToFit="0" vertical="center" wrapText="1"/>
    </xf>
    <xf borderId="45" fillId="3" fontId="1" numFmtId="0" xfId="0" applyAlignment="1" applyBorder="1" applyFont="1">
      <alignment horizontal="center" shrinkToFit="0" vertical="center" wrapText="1"/>
    </xf>
    <xf borderId="127" fillId="3" fontId="1" numFmtId="0" xfId="0" applyAlignment="1" applyBorder="1" applyFont="1">
      <alignment horizontal="center" shrinkToFit="0" vertical="center" wrapText="1"/>
    </xf>
    <xf borderId="160" fillId="3" fontId="1" numFmtId="49" xfId="0" applyAlignment="1" applyBorder="1" applyFont="1" applyNumberFormat="1">
      <alignment horizontal="center" shrinkToFit="0" vertical="center" wrapText="1"/>
    </xf>
    <xf borderId="161" fillId="3" fontId="1" numFmtId="49" xfId="0" applyAlignment="1" applyBorder="1" applyFont="1" applyNumberFormat="1">
      <alignment horizontal="center" shrinkToFit="0" vertical="center" wrapText="1"/>
    </xf>
    <xf borderId="57" fillId="3" fontId="1" numFmtId="49" xfId="0" applyAlignment="1" applyBorder="1" applyFont="1" applyNumberFormat="1">
      <alignment horizontal="center" shrinkToFit="0" vertical="center" wrapText="1"/>
    </xf>
    <xf borderId="54" fillId="6" fontId="1" numFmtId="49" xfId="0" applyAlignment="1" applyBorder="1" applyFont="1" applyNumberFormat="1">
      <alignment horizontal="center" shrinkToFit="0" vertical="center" wrapText="1"/>
    </xf>
    <xf borderId="148" fillId="3" fontId="1" numFmtId="49" xfId="0" applyAlignment="1" applyBorder="1" applyFont="1" applyNumberFormat="1">
      <alignment shrinkToFit="0" vertical="center" wrapText="1"/>
    </xf>
    <xf borderId="126" fillId="3" fontId="1" numFmtId="0" xfId="0" applyAlignment="1" applyBorder="1" applyFont="1">
      <alignment horizontal="center" shrinkToFit="0" vertical="center" wrapText="1"/>
    </xf>
    <xf borderId="162" fillId="0" fontId="4" numFmtId="0" xfId="0" applyBorder="1" applyFont="1"/>
    <xf borderId="163" fillId="0" fontId="4" numFmtId="0" xfId="0" applyBorder="1" applyFont="1"/>
    <xf borderId="43" fillId="3" fontId="1" numFmtId="0" xfId="0" applyAlignment="1" applyBorder="1" applyFont="1">
      <alignment horizontal="center" shrinkToFit="0" vertical="center" wrapText="1"/>
    </xf>
    <xf borderId="45" fillId="3" fontId="1" numFmtId="49" xfId="0" applyAlignment="1" applyBorder="1" applyFont="1" applyNumberFormat="1">
      <alignment horizontal="center" shrinkToFit="0" vertical="center" wrapText="1"/>
    </xf>
    <xf borderId="45" fillId="3" fontId="1" numFmtId="49" xfId="0" applyAlignment="1" applyBorder="1" applyFont="1" applyNumberFormat="1">
      <alignment shrinkToFit="0" vertical="center" wrapText="1"/>
    </xf>
    <xf borderId="45" fillId="3" fontId="6" numFmtId="49" xfId="0" applyAlignment="1" applyBorder="1" applyFont="1" applyNumberFormat="1">
      <alignment horizontal="center" shrinkToFit="0" wrapText="1"/>
    </xf>
    <xf borderId="127" fillId="3" fontId="6" numFmtId="49" xfId="0" applyAlignment="1" applyBorder="1" applyFont="1" applyNumberFormat="1">
      <alignment horizontal="center" shrinkToFit="0" wrapText="1"/>
    </xf>
    <xf borderId="112" fillId="3" fontId="1" numFmtId="49" xfId="0" applyAlignment="1" applyBorder="1" applyFont="1" applyNumberFormat="1">
      <alignment horizontal="center" shrinkToFit="0" vertical="center" wrapText="1"/>
    </xf>
    <xf borderId="85" fillId="3" fontId="1" numFmtId="49" xfId="0" applyAlignment="1" applyBorder="1" applyFont="1" applyNumberFormat="1">
      <alignment shrinkToFit="0" vertical="center" wrapText="1"/>
    </xf>
    <xf borderId="54" fillId="4" fontId="1" numFmtId="49" xfId="0" applyAlignment="1" applyBorder="1" applyFont="1" applyNumberFormat="1">
      <alignment horizontal="center" shrinkToFit="0" vertical="center" wrapText="1"/>
    </xf>
    <xf borderId="126" fillId="3" fontId="1" numFmtId="49" xfId="0" applyAlignment="1" applyBorder="1" applyFont="1" applyNumberFormat="1">
      <alignment horizontal="center" shrinkToFit="0" vertical="center" wrapText="1"/>
    </xf>
    <xf borderId="164" fillId="3" fontId="1" numFmtId="49" xfId="0" applyAlignment="1" applyBorder="1" applyFont="1" applyNumberFormat="1">
      <alignment horizontal="center" shrinkToFit="0" vertical="center" wrapText="1"/>
    </xf>
    <xf borderId="27" fillId="4" fontId="1" numFmtId="0" xfId="0" applyAlignment="1" applyBorder="1" applyFont="1">
      <alignment horizontal="center" shrinkToFit="0" vertical="center" wrapText="1"/>
    </xf>
    <xf borderId="165" fillId="3" fontId="1" numFmtId="49" xfId="0" applyAlignment="1" applyBorder="1" applyFont="1" applyNumberFormat="1">
      <alignment horizontal="center" shrinkToFit="0" vertical="center" wrapText="1"/>
    </xf>
    <xf borderId="166" fillId="3" fontId="1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142" fillId="5" fontId="1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1"/>
    </xf>
    <xf borderId="0" fillId="0" fontId="21" numFmtId="0" xfId="0" applyAlignment="1" applyFont="1">
      <alignment readingOrder="0" shrinkToFit="0" vertical="center" wrapText="0"/>
    </xf>
    <xf borderId="0" fillId="0" fontId="21" numFmtId="0" xfId="0" applyAlignment="1" applyFont="1">
      <alignment readingOrder="0" shrinkToFit="0" vertical="center" wrapText="0"/>
    </xf>
    <xf borderId="0" fillId="0" fontId="21" numFmtId="19" xfId="0" applyAlignment="1" applyFont="1" applyNumberFormat="1">
      <alignment shrinkToFit="0" vertical="center" wrapText="0"/>
    </xf>
    <xf borderId="0" fillId="0" fontId="21" numFmtId="166" xfId="0" applyAlignment="1" applyFont="1" applyNumberFormat="1">
      <alignment shrinkToFit="0" vertical="center" wrapText="0"/>
    </xf>
    <xf borderId="0" fillId="0" fontId="21" numFmtId="0" xfId="0" applyAlignment="1" applyFont="1">
      <alignment shrinkToFit="0" vertical="center" wrapText="1"/>
    </xf>
    <xf borderId="44" fillId="2" fontId="3" numFmtId="0" xfId="0" applyAlignment="1" applyBorder="1" applyFont="1">
      <alignment horizontal="center"/>
    </xf>
    <xf borderId="0" fillId="0" fontId="22" numFmtId="0" xfId="0" applyAlignment="1" applyFont="1">
      <alignment horizontal="center" shrinkToFit="0" vertical="center" wrapText="1"/>
    </xf>
    <xf borderId="17" fillId="2" fontId="3" numFmtId="0" xfId="0" applyBorder="1" applyFont="1"/>
    <xf borderId="17" fillId="2" fontId="3" numFmtId="0" xfId="0" applyAlignment="1" applyBorder="1" applyFont="1">
      <alignment horizontal="center" vertical="center"/>
    </xf>
    <xf borderId="0" fillId="0" fontId="22" numFmtId="0" xfId="0" applyFont="1"/>
    <xf borderId="123" fillId="2" fontId="3" numFmtId="0" xfId="0" applyAlignment="1" applyBorder="1" applyFont="1">
      <alignment horizontal="center"/>
    </xf>
    <xf borderId="17" fillId="4" fontId="23" numFmtId="0" xfId="0" applyAlignment="1" applyBorder="1" applyFont="1">
      <alignment horizontal="center" vertical="center"/>
    </xf>
    <xf borderId="17" fillId="2" fontId="3" numFmtId="0" xfId="0" applyAlignment="1" applyBorder="1" applyFont="1">
      <alignment horizontal="center"/>
    </xf>
    <xf borderId="123" fillId="6" fontId="1" numFmtId="0" xfId="0" applyAlignment="1" applyBorder="1" applyFont="1">
      <alignment horizontal="center"/>
    </xf>
    <xf borderId="17" fillId="6" fontId="1" numFmtId="0" xfId="0" applyAlignment="1" applyBorder="1" applyFont="1">
      <alignment horizontal="center"/>
    </xf>
    <xf borderId="123" fillId="6" fontId="2" numFmtId="0" xfId="0" applyAlignment="1" applyBorder="1" applyFont="1">
      <alignment horizontal="center" readingOrder="0"/>
    </xf>
    <xf borderId="17" fillId="6" fontId="2" numFmtId="0" xfId="0" applyAlignment="1" applyBorder="1" applyFont="1">
      <alignment horizontal="center" readingOrder="0"/>
    </xf>
    <xf borderId="51" fillId="0" fontId="24" numFmtId="0" xfId="0" applyAlignment="1" applyBorder="1" applyFont="1">
      <alignment horizontal="center" vertical="center"/>
    </xf>
    <xf borderId="17" fillId="2" fontId="20" numFmtId="0" xfId="0" applyBorder="1" applyFont="1"/>
    <xf borderId="123" fillId="2" fontId="20" numFmtId="0" xfId="0" applyAlignment="1" applyBorder="1" applyFont="1">
      <alignment horizontal="center"/>
    </xf>
    <xf borderId="123" fillId="7" fontId="1" numFmtId="0" xfId="0" applyAlignment="1" applyBorder="1" applyFill="1" applyFont="1">
      <alignment horizontal="center"/>
    </xf>
    <xf borderId="0" fillId="0" fontId="25" numFmtId="0" xfId="0" applyFont="1"/>
    <xf borderId="0" fillId="0" fontId="26" numFmtId="0" xfId="0" applyFont="1"/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apacità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1200150</xdr:colOff>
      <xdr:row>3</xdr:row>
      <xdr:rowOff>19050</xdr:rowOff>
    </xdr:from>
    <xdr:ext cx="180975" cy="180975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1190625</xdr:colOff>
      <xdr:row>10</xdr:row>
      <xdr:rowOff>209550</xdr:rowOff>
    </xdr:from>
    <xdr:ext cx="180975" cy="190500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1181100</xdr:colOff>
      <xdr:row>31</xdr:row>
      <xdr:rowOff>200025</xdr:rowOff>
    </xdr:from>
    <xdr:ext cx="180975" cy="190500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1295400</xdr:colOff>
      <xdr:row>11</xdr:row>
      <xdr:rowOff>209550</xdr:rowOff>
    </xdr:from>
    <xdr:ext cx="180975" cy="190500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1295400</xdr:colOff>
      <xdr:row>13</xdr:row>
      <xdr:rowOff>19050</xdr:rowOff>
    </xdr:from>
    <xdr:ext cx="180975" cy="180975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1285875</xdr:colOff>
      <xdr:row>22</xdr:row>
      <xdr:rowOff>9525</xdr:rowOff>
    </xdr:from>
    <xdr:ext cx="180975" cy="190500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1285875</xdr:colOff>
      <xdr:row>23</xdr:row>
      <xdr:rowOff>9525</xdr:rowOff>
    </xdr:from>
    <xdr:ext cx="180975" cy="190500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1295400</xdr:colOff>
      <xdr:row>24</xdr:row>
      <xdr:rowOff>219075</xdr:rowOff>
    </xdr:from>
    <xdr:ext cx="180975" cy="190500"/>
    <xdr:pic>
      <xdr:nvPicPr>
        <xdr:cNvPr descr="Scudo medievale con riempimento a tinta unita"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428625</xdr:colOff>
      <xdr:row>3</xdr:row>
      <xdr:rowOff>-19050</xdr:rowOff>
    </xdr:from>
    <xdr:ext cx="476250" cy="447675"/>
    <xdr:sp>
      <xdr:nvSpPr>
        <xdr:cNvPr id="3" name="Shape 3"/>
        <xdr:cNvSpPr/>
      </xdr:nvSpPr>
      <xdr:spPr>
        <a:xfrm>
          <a:off x="5117400" y="3565688"/>
          <a:ext cx="457200" cy="428625"/>
        </a:xfrm>
        <a:prstGeom prst="star8">
          <a:avLst>
            <a:gd fmla="val 37500" name="adj"/>
          </a:avLst>
        </a:prstGeom>
        <a:noFill/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23</xdr:col>
      <xdr:colOff>57150</xdr:colOff>
      <xdr:row>20</xdr:row>
      <xdr:rowOff>57150</xdr:rowOff>
    </xdr:from>
    <xdr:ext cx="542925" cy="95250"/>
    <xdr:sp>
      <xdr:nvSpPr>
        <xdr:cNvPr id="4" name="Shape 4"/>
        <xdr:cNvSpPr/>
      </xdr:nvSpPr>
      <xdr:spPr>
        <a:xfrm>
          <a:off x="5084063" y="3741900"/>
          <a:ext cx="523875" cy="762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35</xdr:col>
      <xdr:colOff>9525</xdr:colOff>
      <xdr:row>23</xdr:row>
      <xdr:rowOff>38100</xdr:rowOff>
    </xdr:from>
    <xdr:ext cx="571500" cy="581025"/>
    <xdr:sp>
      <xdr:nvSpPr>
        <xdr:cNvPr id="5" name="Shape 5"/>
        <xdr:cNvSpPr/>
      </xdr:nvSpPr>
      <xdr:spPr>
        <a:xfrm rot="5400000">
          <a:off x="5065013" y="3503775"/>
          <a:ext cx="561975" cy="552450"/>
        </a:xfrm>
        <a:prstGeom prst="flowChartDelay">
          <a:avLst/>
        </a:prstGeom>
        <a:noFill/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000"/>
            <a:buFont typeface="Arial"/>
            <a:buNone/>
          </a:pPr>
          <a:r>
            <a:t/>
          </a:r>
          <a:endParaRPr sz="2000"/>
        </a:p>
      </xdr:txBody>
    </xdr:sp>
    <xdr:clientData fLocksWithSheet="0"/>
  </xdr:oneCellAnchor>
  <xdr:oneCellAnchor>
    <xdr:from>
      <xdr:col>37</xdr:col>
      <xdr:colOff>276225</xdr:colOff>
      <xdr:row>48</xdr:row>
      <xdr:rowOff>85725</xdr:rowOff>
    </xdr:from>
    <xdr:ext cx="542925" cy="95250"/>
    <xdr:sp>
      <xdr:nvSpPr>
        <xdr:cNvPr id="6" name="Shape 6"/>
        <xdr:cNvSpPr/>
      </xdr:nvSpPr>
      <xdr:spPr>
        <a:xfrm>
          <a:off x="5084063" y="3741900"/>
          <a:ext cx="523875" cy="762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47625</xdr:colOff>
      <xdr:row>4</xdr:row>
      <xdr:rowOff>152400</xdr:rowOff>
    </xdr:from>
    <xdr:ext cx="876300" cy="142875"/>
    <xdr:sp>
      <xdr:nvSpPr>
        <xdr:cNvPr id="7" name="Shape 7"/>
        <xdr:cNvSpPr/>
      </xdr:nvSpPr>
      <xdr:spPr>
        <a:xfrm>
          <a:off x="4917375" y="3718088"/>
          <a:ext cx="857250" cy="1238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95250</xdr:colOff>
      <xdr:row>12</xdr:row>
      <xdr:rowOff>161925</xdr:rowOff>
    </xdr:from>
    <xdr:ext cx="762000" cy="133350"/>
    <xdr:sp>
      <xdr:nvSpPr>
        <xdr:cNvPr id="8" name="Shape 8"/>
        <xdr:cNvSpPr/>
      </xdr:nvSpPr>
      <xdr:spPr>
        <a:xfrm>
          <a:off x="4974525" y="3722850"/>
          <a:ext cx="742950" cy="1143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38:I48" displayName="Borsa_Dei_Componenti" name="Borsa_Dei_Componenti" id="1">
  <tableColumns count="6">
    <tableColumn name="Nome Elemento" id="1"/>
    <tableColumn name="Quantità" id="2"/>
    <tableColumn name="Costo Unitario (mo)" id="3"/>
    <tableColumn name="Peso (kg)" id="4"/>
    <tableColumn name="Incantesimo Associato" id="5"/>
    <tableColumn name="Descrizione" id="6"/>
  </tableColumns>
  <tableStyleInfo name="Capacità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0.63"/>
    <col customWidth="1" min="2" max="7" width="8.0"/>
    <col customWidth="1" min="8" max="8" width="3.88"/>
    <col customWidth="1" min="9" max="13" width="8.0"/>
    <col customWidth="1" min="14" max="14" width="3.63"/>
    <col customWidth="1" min="15" max="15" width="18.25"/>
    <col customWidth="1" min="16" max="17" width="6.5"/>
    <col customWidth="1" min="18" max="18" width="7.0"/>
    <col customWidth="1" min="19" max="19" width="6.0"/>
    <col customWidth="1" min="20" max="20" width="5.5"/>
    <col customWidth="1" min="21" max="21" width="4.88"/>
    <col customWidth="1" min="22" max="22" width="5.25"/>
    <col customWidth="1" min="23" max="23" width="2.5"/>
    <col customWidth="1" min="24" max="24" width="20.0"/>
    <col customWidth="1" min="25" max="26" width="6.0"/>
    <col customWidth="1" min="27" max="27" width="6.88"/>
    <col customWidth="1" min="28" max="28" width="5.25"/>
    <col customWidth="1" min="29" max="29" width="5.38"/>
    <col customWidth="1" min="30" max="30" width="4.63"/>
    <col customWidth="1" min="31" max="31" width="5.5"/>
  </cols>
  <sheetData>
    <row r="1" ht="19.5" customHeight="1">
      <c r="A1" s="1"/>
      <c r="B1" s="2" t="s">
        <v>0</v>
      </c>
      <c r="D1" s="2">
        <f>SUM(Generali!$O$14:$O$31)
</f>
        <v>24</v>
      </c>
      <c r="E1" s="2" t="s">
        <v>1</v>
      </c>
      <c r="G1" s="2">
        <f>D1 -(SUM(T4:T33, AC4:AC31))</f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19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16.5" customHeight="1">
      <c r="A3" s="1"/>
      <c r="B3" s="3" t="s">
        <v>2</v>
      </c>
      <c r="C3" s="4"/>
      <c r="D3" s="4"/>
      <c r="E3" s="4"/>
      <c r="F3" s="4"/>
      <c r="G3" s="5"/>
      <c r="H3" s="1"/>
      <c r="I3" s="6" t="s">
        <v>3</v>
      </c>
      <c r="J3" s="4"/>
      <c r="K3" s="4"/>
      <c r="L3" s="4"/>
      <c r="M3" s="5"/>
      <c r="N3" s="1"/>
      <c r="O3" s="7" t="s">
        <v>4</v>
      </c>
      <c r="P3" s="8" t="s">
        <v>5</v>
      </c>
      <c r="Q3" s="9" t="s">
        <v>6</v>
      </c>
      <c r="R3" s="8" t="s">
        <v>7</v>
      </c>
      <c r="S3" s="8" t="s">
        <v>8</v>
      </c>
      <c r="T3" s="8" t="s">
        <v>9</v>
      </c>
      <c r="U3" s="8" t="s">
        <v>10</v>
      </c>
      <c r="V3" s="10" t="s">
        <v>11</v>
      </c>
      <c r="W3" s="11"/>
      <c r="X3" s="7" t="s">
        <v>4</v>
      </c>
      <c r="Y3" s="8" t="s">
        <v>5</v>
      </c>
      <c r="Z3" s="9" t="s">
        <v>6</v>
      </c>
      <c r="AA3" s="8" t="s">
        <v>7</v>
      </c>
      <c r="AB3" s="8" t="s">
        <v>8</v>
      </c>
      <c r="AC3" s="8" t="s">
        <v>9</v>
      </c>
      <c r="AD3" s="8" t="s">
        <v>10</v>
      </c>
      <c r="AE3" s="10" t="s">
        <v>11</v>
      </c>
    </row>
    <row r="4" ht="16.5" customHeight="1">
      <c r="A4" s="1"/>
      <c r="B4" s="12" t="s">
        <v>12</v>
      </c>
      <c r="C4" s="13"/>
      <c r="D4" s="13"/>
      <c r="E4" s="14"/>
      <c r="F4" s="15" t="s">
        <v>13</v>
      </c>
      <c r="G4" s="15" t="s">
        <v>14</v>
      </c>
      <c r="H4" s="1"/>
      <c r="I4" s="16" t="s">
        <v>15</v>
      </c>
      <c r="J4" s="17"/>
      <c r="K4" s="17"/>
      <c r="L4" s="17"/>
      <c r="M4" s="18"/>
      <c r="N4" s="1"/>
      <c r="O4" s="19" t="s">
        <v>16</v>
      </c>
      <c r="P4" s="20"/>
      <c r="Q4" s="21"/>
      <c r="R4" s="22" t="s">
        <v>17</v>
      </c>
      <c r="S4" s="23">
        <f>Generali!X7</f>
        <v>3</v>
      </c>
      <c r="T4" s="24"/>
      <c r="U4" s="25"/>
      <c r="V4" s="26">
        <f>ROUNDDOWN(SUM(S4,U4,IF(P4&lt;&gt;"",T4,ROUNDDOWN(T4/2,0))),0)+Equip!Y5+Equip!X13+IF(AC24&gt;4,2,0)-Generali!$AR$7</f>
        <v>3</v>
      </c>
      <c r="W4" s="1"/>
      <c r="X4" s="19" t="s">
        <v>18</v>
      </c>
      <c r="Y4" s="27"/>
      <c r="Z4" s="28"/>
      <c r="AA4" s="22" t="s">
        <v>19</v>
      </c>
      <c r="AB4" s="23">
        <f>Generali!$X$11</f>
        <v>4</v>
      </c>
      <c r="AC4" s="25"/>
      <c r="AD4" s="25"/>
      <c r="AE4" s="26">
        <f>ROUNDDOWN(SUM(AB4,AD4,IF(Y4&lt;&gt;"",AC4,ROUNDDOWN(AC4/2,0))),0)-Generali!AR7
</f>
        <v>4</v>
      </c>
    </row>
    <row r="5" ht="16.5" customHeight="1">
      <c r="A5" s="1"/>
      <c r="B5" s="29" t="s">
        <v>20</v>
      </c>
      <c r="C5" s="30"/>
      <c r="D5" s="30"/>
      <c r="E5" s="31"/>
      <c r="F5" s="32"/>
      <c r="G5" s="33" t="s">
        <v>21</v>
      </c>
      <c r="H5" s="1"/>
      <c r="I5" s="34"/>
      <c r="M5" s="35"/>
      <c r="N5" s="1"/>
      <c r="O5" s="19" t="s">
        <v>22</v>
      </c>
      <c r="P5" s="20"/>
      <c r="Q5" s="21"/>
      <c r="R5" s="22" t="s">
        <v>23</v>
      </c>
      <c r="S5" s="23">
        <f>Generali!X15</f>
        <v>2</v>
      </c>
      <c r="T5" s="36"/>
      <c r="U5" s="25"/>
      <c r="V5" s="26">
        <f>ROUNDDOWN(SUM(S5,U5,IF(P5&lt;&gt;"",T5,ROUNDDOWN(T5/2,0))),0)-Generali!$AR$7
</f>
        <v>2</v>
      </c>
      <c r="W5" s="1"/>
      <c r="X5" s="19" t="s">
        <v>24</v>
      </c>
      <c r="Y5" s="27"/>
      <c r="Z5" s="28"/>
      <c r="AA5" s="22" t="s">
        <v>25</v>
      </c>
      <c r="AB5" s="23">
        <f>Generali!X13</f>
        <v>2</v>
      </c>
      <c r="AC5" s="25"/>
      <c r="AD5" s="25"/>
      <c r="AE5" s="26">
        <f>ROUNDDOWN(SUM(AB5,AD5,IF(Y5&lt;&gt;"",AC5,ROUNDDOWN(AC5/2,0))),0)-Generali!AR7
</f>
        <v>2</v>
      </c>
    </row>
    <row r="6" ht="16.5" customHeight="1">
      <c r="A6" s="1"/>
      <c r="B6" s="37" t="s">
        <v>26</v>
      </c>
      <c r="C6" s="38"/>
      <c r="D6" s="38"/>
      <c r="E6" s="39"/>
      <c r="F6" s="32"/>
      <c r="G6" s="33" t="s">
        <v>21</v>
      </c>
      <c r="H6" s="1"/>
      <c r="I6" s="34"/>
      <c r="M6" s="35"/>
      <c r="N6" s="1"/>
      <c r="O6" s="19" t="s">
        <v>27</v>
      </c>
      <c r="P6" s="20" t="s">
        <v>28</v>
      </c>
      <c r="Q6" s="21"/>
      <c r="R6" s="22" t="s">
        <v>19</v>
      </c>
      <c r="S6" s="23">
        <f>Generali!$X$11</f>
        <v>4</v>
      </c>
      <c r="T6" s="24"/>
      <c r="U6" s="25"/>
      <c r="V6" s="26">
        <f>ROUNDDOWN(SUM(S6,U6,IF(P6&lt;&gt;"",T6,ROUNDDOWN(T6/2,0))),0)-Generali!$AR$7
</f>
        <v>4</v>
      </c>
      <c r="W6" s="1"/>
      <c r="X6" s="19" t="s">
        <v>29</v>
      </c>
      <c r="Y6" s="27"/>
      <c r="Z6" s="28"/>
      <c r="AA6" s="22" t="s">
        <v>30</v>
      </c>
      <c r="AB6" s="23">
        <f>Generali!X15</f>
        <v>2</v>
      </c>
      <c r="AC6" s="25"/>
      <c r="AD6" s="25"/>
      <c r="AE6" s="26">
        <f>ROUNDDOWN(SUM(AB6,AD6,IF(Y6&lt;&gt;"",AC6,ROUNDDOWN(AC6/2,0))),0)+IF(AC22&gt;4,2,0)-Generali!AR7</f>
        <v>2</v>
      </c>
    </row>
    <row r="7" ht="16.5" customHeight="1">
      <c r="A7" s="1"/>
      <c r="B7" s="37" t="s">
        <v>31</v>
      </c>
      <c r="C7" s="38"/>
      <c r="D7" s="38"/>
      <c r="E7" s="39"/>
      <c r="F7" s="32"/>
      <c r="G7" s="33" t="s">
        <v>21</v>
      </c>
      <c r="H7" s="1"/>
      <c r="I7" s="34"/>
      <c r="M7" s="35"/>
      <c r="N7" s="1"/>
      <c r="O7" s="19" t="s">
        <v>32</v>
      </c>
      <c r="P7" s="27"/>
      <c r="Q7" s="28"/>
      <c r="R7" s="22" t="s">
        <v>19</v>
      </c>
      <c r="S7" s="23">
        <f>Generali!$X$11</f>
        <v>4</v>
      </c>
      <c r="T7" s="24"/>
      <c r="U7" s="25"/>
      <c r="V7" s="26">
        <f>ROUNDDOWN(SUM(S7,U7,IF(P7&lt;&gt;"",T7,ROUNDDOWN(T7/2,0))),0)-Generali!$AR$7
</f>
        <v>4</v>
      </c>
      <c r="W7" s="1"/>
      <c r="X7" s="19" t="s">
        <v>33</v>
      </c>
      <c r="Y7" s="27"/>
      <c r="Z7" s="28"/>
      <c r="AA7" s="22" t="s">
        <v>30</v>
      </c>
      <c r="AB7" s="23">
        <f>Generali!X15</f>
        <v>2</v>
      </c>
      <c r="AC7" s="25"/>
      <c r="AD7" s="25"/>
      <c r="AE7" s="26">
        <f>ROUNDDOWN(SUM(AB7,AD7,IF(Y7&lt;&gt;"",AC7,ROUNDDOWN(AC7/2,0))),0)-Generali!AR7
</f>
        <v>2</v>
      </c>
    </row>
    <row r="8" ht="16.5" customHeight="1">
      <c r="A8" s="1"/>
      <c r="B8" s="37"/>
      <c r="C8" s="38"/>
      <c r="D8" s="38"/>
      <c r="E8" s="39"/>
      <c r="F8" s="32"/>
      <c r="G8" s="40"/>
      <c r="H8" s="1"/>
      <c r="I8" s="34"/>
      <c r="M8" s="35"/>
      <c r="N8" s="1"/>
      <c r="O8" s="19" t="s">
        <v>34</v>
      </c>
      <c r="P8" s="27"/>
      <c r="Q8" s="28"/>
      <c r="R8" s="22" t="s">
        <v>19</v>
      </c>
      <c r="S8" s="23">
        <f>Generali!$X$11</f>
        <v>4</v>
      </c>
      <c r="T8" s="36"/>
      <c r="U8" s="25"/>
      <c r="V8" s="26">
        <f>ROUNDDOWN(SUM(S8,U8,IF(P8&lt;&gt;"",T8,ROUNDDOWN(T8/2,0))),0)-Generali!$AR$7
</f>
        <v>4</v>
      </c>
      <c r="W8" s="1"/>
      <c r="X8" s="19" t="s">
        <v>35</v>
      </c>
      <c r="Y8" s="27"/>
      <c r="Z8" s="28"/>
      <c r="AA8" s="22" t="s">
        <v>30</v>
      </c>
      <c r="AB8" s="23">
        <f>Generali!X15</f>
        <v>2</v>
      </c>
      <c r="AC8" s="25"/>
      <c r="AD8" s="25"/>
      <c r="AE8" s="26">
        <f>ROUNDDOWN(SUM(AB8,AD8,IF(Y8&lt;&gt;"",AC8,ROUNDDOWN(AC8/2,0))),0)-Generali!AR7
</f>
        <v>2</v>
      </c>
    </row>
    <row r="9" ht="16.5" customHeight="1">
      <c r="A9" s="1"/>
      <c r="B9" s="41"/>
      <c r="C9" s="38"/>
      <c r="D9" s="38"/>
      <c r="E9" s="39"/>
      <c r="F9" s="32"/>
      <c r="G9" s="42"/>
      <c r="H9" s="1"/>
      <c r="I9" s="34"/>
      <c r="M9" s="35"/>
      <c r="N9" s="1"/>
      <c r="O9" s="19" t="s">
        <v>36</v>
      </c>
      <c r="P9" s="27"/>
      <c r="Q9" s="28"/>
      <c r="R9" s="22" t="s">
        <v>19</v>
      </c>
      <c r="S9" s="23">
        <f>Generali!$X$11</f>
        <v>4</v>
      </c>
      <c r="T9" s="36"/>
      <c r="U9" s="25"/>
      <c r="V9" s="26">
        <f>ROUNDDOWN(SUM(S9,U9,IF(P9&lt;&gt;"",T9,ROUNDDOWN(T9/2,0))),0)-Generali!$AR$7
</f>
        <v>4</v>
      </c>
      <c r="W9" s="1"/>
      <c r="X9" s="19" t="s">
        <v>37</v>
      </c>
      <c r="Y9" s="27"/>
      <c r="Z9" s="28"/>
      <c r="AA9" s="22" t="s">
        <v>30</v>
      </c>
      <c r="AB9" s="23">
        <f>Generali!X15</f>
        <v>2</v>
      </c>
      <c r="AC9" s="25"/>
      <c r="AD9" s="25"/>
      <c r="AE9" s="26">
        <f>ROUNDDOWN(SUM(AB9,AD9,IF(Y9&lt;&gt;"",AC9,ROUNDDOWN(AC9/2,0))),0)-Generali!AR7
</f>
        <v>2</v>
      </c>
    </row>
    <row r="10" ht="16.5" customHeight="1">
      <c r="A10" s="1"/>
      <c r="B10" s="41"/>
      <c r="C10" s="38"/>
      <c r="D10" s="38"/>
      <c r="E10" s="39"/>
      <c r="F10" s="32"/>
      <c r="G10" s="42"/>
      <c r="H10" s="1"/>
      <c r="I10" s="34"/>
      <c r="M10" s="35"/>
      <c r="N10" s="1"/>
      <c r="O10" s="19" t="s">
        <v>38</v>
      </c>
      <c r="P10" s="27"/>
      <c r="Q10" s="28"/>
      <c r="R10" s="22" t="s">
        <v>19</v>
      </c>
      <c r="S10" s="23">
        <f>Generali!$X$11</f>
        <v>4</v>
      </c>
      <c r="T10" s="24"/>
      <c r="U10" s="25"/>
      <c r="V10" s="26">
        <f>ROUNDDOWN(SUM(S10,U10,IF(P10&lt;&gt;"",T10,ROUNDDOWN(T10/2,0))),0)-Generali!$AR$7
</f>
        <v>4</v>
      </c>
      <c r="W10" s="1"/>
      <c r="X10" s="19" t="s">
        <v>39</v>
      </c>
      <c r="Y10" s="27"/>
      <c r="Z10" s="28"/>
      <c r="AA10" s="22" t="s">
        <v>30</v>
      </c>
      <c r="AB10" s="23">
        <f>Generali!X15</f>
        <v>2</v>
      </c>
      <c r="AC10" s="25"/>
      <c r="AD10" s="25"/>
      <c r="AE10" s="26">
        <f>ROUNDDOWN(SUM(AB10,AD10,IF(Y10&lt;&gt;"",AC10,ROUNDDOWN(AC10/2,0))),0)-Generali!AR7
</f>
        <v>2</v>
      </c>
    </row>
    <row r="11" ht="16.5" customHeight="1">
      <c r="A11" s="1"/>
      <c r="B11" s="41"/>
      <c r="C11" s="38"/>
      <c r="D11" s="38"/>
      <c r="E11" s="39"/>
      <c r="F11" s="32"/>
      <c r="G11" s="42"/>
      <c r="H11" s="1"/>
      <c r="I11" s="34"/>
      <c r="M11" s="35"/>
      <c r="N11" s="1"/>
      <c r="O11" s="19" t="s">
        <v>40</v>
      </c>
      <c r="P11" s="27"/>
      <c r="Q11" s="28"/>
      <c r="R11" s="22" t="s">
        <v>19</v>
      </c>
      <c r="S11" s="23">
        <f>Generali!$X$11</f>
        <v>4</v>
      </c>
      <c r="T11" s="36"/>
      <c r="U11" s="25"/>
      <c r="V11" s="26">
        <f>ROUNDDOWN(SUM(S11,U11,IF(P11&lt;&gt;"",T11,ROUNDDOWN(T11/2,0))),0)-Generali!$AR$7
</f>
        <v>4</v>
      </c>
      <c r="W11" s="1"/>
      <c r="X11" s="19" t="s">
        <v>41</v>
      </c>
      <c r="Y11" s="27"/>
      <c r="Z11" s="28"/>
      <c r="AA11" s="22" t="s">
        <v>30</v>
      </c>
      <c r="AB11" s="23">
        <f>Generali!X15</f>
        <v>2</v>
      </c>
      <c r="AC11" s="25"/>
      <c r="AD11" s="25"/>
      <c r="AE11" s="26">
        <f>ROUNDDOWN(SUM(AB11,AD11,IF(Y11&lt;&gt;"",AC11,ROUNDDOWN(AC11/2,0))),0)-Generali!AR7
</f>
        <v>2</v>
      </c>
    </row>
    <row r="12" ht="16.5" customHeight="1">
      <c r="A12" s="1"/>
      <c r="B12" s="41"/>
      <c r="C12" s="38"/>
      <c r="D12" s="38"/>
      <c r="E12" s="39"/>
      <c r="F12" s="32"/>
      <c r="G12" s="42"/>
      <c r="H12" s="1"/>
      <c r="I12" s="34"/>
      <c r="M12" s="35"/>
      <c r="N12" s="1"/>
      <c r="O12" s="19" t="s">
        <v>42</v>
      </c>
      <c r="P12" s="27"/>
      <c r="Q12" s="28"/>
      <c r="R12" s="22" t="s">
        <v>43</v>
      </c>
      <c r="S12" s="23">
        <f>Generali!X7</f>
        <v>3</v>
      </c>
      <c r="T12" s="36"/>
      <c r="U12" s="25"/>
      <c r="V12" s="26">
        <f>ROUNDDOWN(SUM(S12,U12,IF(P12&lt;&gt;"",T12,ROUNDDOWN(T12/2,0))),0)+Equip!Y5+Equip!X13-Generali!AR7</f>
        <v>3</v>
      </c>
      <c r="W12" s="1"/>
      <c r="X12" s="19" t="s">
        <v>44</v>
      </c>
      <c r="Y12" s="27"/>
      <c r="Z12" s="28"/>
      <c r="AA12" s="22" t="s">
        <v>30</v>
      </c>
      <c r="AB12" s="23">
        <f>Generali!X15</f>
        <v>2</v>
      </c>
      <c r="AC12" s="25"/>
      <c r="AD12" s="25"/>
      <c r="AE12" s="26">
        <f>ROUNDDOWN(SUM(AB12,AD12,IF(Y12&lt;&gt;"",AC12,ROUNDDOWN(AC12/2,0))),0)-Generali!AR7
</f>
        <v>2</v>
      </c>
    </row>
    <row r="13" ht="16.5" customHeight="1">
      <c r="A13" s="1"/>
      <c r="B13" s="41"/>
      <c r="C13" s="38"/>
      <c r="D13" s="38"/>
      <c r="E13" s="39"/>
      <c r="F13" s="32"/>
      <c r="G13" s="42"/>
      <c r="H13" s="1"/>
      <c r="I13" s="34"/>
      <c r="M13" s="35"/>
      <c r="N13" s="1"/>
      <c r="O13" s="19" t="s">
        <v>45</v>
      </c>
      <c r="P13" s="27"/>
      <c r="Q13" s="28"/>
      <c r="R13" s="22" t="s">
        <v>46</v>
      </c>
      <c r="S13" s="23">
        <f>Generali!X13</f>
        <v>2</v>
      </c>
      <c r="T13" s="36"/>
      <c r="U13" s="24">
        <v>2.0</v>
      </c>
      <c r="V13" s="26">
        <f>ROUNDDOWN(SUM(S13,U13,IF(P13&lt;&gt;"",T13,ROUNDDOWN(T13/2,0))),0)-Generali!AR7
</f>
        <v>4</v>
      </c>
      <c r="W13" s="1"/>
      <c r="X13" s="43" t="s">
        <v>47</v>
      </c>
      <c r="Y13" s="27"/>
      <c r="Z13" s="28"/>
      <c r="AA13" s="22" t="s">
        <v>43</v>
      </c>
      <c r="AB13" s="23">
        <f>Generali!X7</f>
        <v>3</v>
      </c>
      <c r="AC13" s="25"/>
      <c r="AD13" s="25"/>
      <c r="AE13" s="26">
        <f>ROUNDDOWN(SUM(AB13,AD13,IF(Y13&lt;&gt;"",AC13,ROUNDDOWN(AC13/2,0))),0)+Equip!Y5+Equip!X13-Generali!AR7</f>
        <v>3</v>
      </c>
    </row>
    <row r="14" ht="16.5" customHeight="1">
      <c r="A14" s="1"/>
      <c r="B14" s="41"/>
      <c r="C14" s="38"/>
      <c r="D14" s="38"/>
      <c r="E14" s="39"/>
      <c r="F14" s="32"/>
      <c r="G14" s="42"/>
      <c r="H14" s="1"/>
      <c r="I14" s="34"/>
      <c r="M14" s="35"/>
      <c r="N14" s="1"/>
      <c r="O14" s="19" t="s">
        <v>48</v>
      </c>
      <c r="P14" s="27"/>
      <c r="Q14" s="28"/>
      <c r="R14" s="22" t="s">
        <v>30</v>
      </c>
      <c r="S14" s="23">
        <f>Generali!X15</f>
        <v>2</v>
      </c>
      <c r="T14" s="36"/>
      <c r="U14" s="25"/>
      <c r="V14" s="26">
        <f>ROUNDDOWN(SUM(S14,U14,IF(P14&lt;&gt;"",T14,ROUNDDOWN(T14/2,0))),0)+IF(AC22&gt;4,2,0)-Generali!AR7</f>
        <v>2</v>
      </c>
      <c r="W14" s="1"/>
      <c r="X14" s="19" t="s">
        <v>49</v>
      </c>
      <c r="Y14" s="27"/>
      <c r="Z14" s="28"/>
      <c r="AA14" s="22" t="s">
        <v>43</v>
      </c>
      <c r="AB14" s="23">
        <f>Generali!X7</f>
        <v>3</v>
      </c>
      <c r="AC14" s="25"/>
      <c r="AD14" s="25"/>
      <c r="AE14" s="26">
        <f>ROUNDDOWN(SUM(AB14,AD14,IF(Y14&lt;&gt;"",AC14,ROUNDDOWN(AC14/2,0))),0)+Equip!Y5+Equip!X13-Generali!AR7</f>
        <v>3</v>
      </c>
    </row>
    <row r="15" ht="16.5" customHeight="1">
      <c r="A15" s="1"/>
      <c r="B15" s="41"/>
      <c r="C15" s="38"/>
      <c r="D15" s="38"/>
      <c r="E15" s="39"/>
      <c r="F15" s="32"/>
      <c r="G15" s="42"/>
      <c r="H15" s="1"/>
      <c r="I15" s="34"/>
      <c r="M15" s="35"/>
      <c r="N15" s="1"/>
      <c r="O15" s="19" t="s">
        <v>50</v>
      </c>
      <c r="P15" s="27"/>
      <c r="Q15" s="28"/>
      <c r="R15" s="22" t="s">
        <v>43</v>
      </c>
      <c r="S15" s="23">
        <f>Generali!X7</f>
        <v>3</v>
      </c>
      <c r="T15" s="36"/>
      <c r="U15" s="25"/>
      <c r="V15" s="26">
        <f>ROUNDDOWN(SUM(S15,U15,IF(P15&lt;&gt;"",T15,ROUNDDOWN(T15/2,0))),0)+IF(T5&gt;4,2,0)-Generali!AR7</f>
        <v>3</v>
      </c>
      <c r="W15" s="1"/>
      <c r="X15" s="19" t="s">
        <v>51</v>
      </c>
      <c r="Y15" s="27"/>
      <c r="Z15" s="28"/>
      <c r="AA15" s="22" t="s">
        <v>52</v>
      </c>
      <c r="AB15" s="23">
        <f>Generali!X5</f>
        <v>1</v>
      </c>
      <c r="AC15" s="25"/>
      <c r="AD15" s="25"/>
      <c r="AE15" s="26">
        <f>ROUNDDOWN(SUM(AB15,AD15,IF(Y15&lt;&gt;"",AC15,ROUNDDOWN(AC15/2,0))),0)+((Equip!Y5+Equip!X13)*2)-Generali!AR7</f>
        <v>1</v>
      </c>
    </row>
    <row r="16" ht="16.5" customHeight="1">
      <c r="A16" s="1"/>
      <c r="B16" s="41"/>
      <c r="C16" s="38"/>
      <c r="D16" s="38"/>
      <c r="E16" s="39"/>
      <c r="F16" s="32"/>
      <c r="G16" s="42"/>
      <c r="H16" s="1"/>
      <c r="I16" s="34"/>
      <c r="M16" s="35"/>
      <c r="N16" s="1"/>
      <c r="O16" s="19" t="s">
        <v>53</v>
      </c>
      <c r="P16" s="27"/>
      <c r="Q16" s="28"/>
      <c r="R16" s="44" t="s">
        <v>19</v>
      </c>
      <c r="S16" s="23">
        <f>Generali!$X$11</f>
        <v>4</v>
      </c>
      <c r="T16" s="24"/>
      <c r="U16" s="24">
        <v>2.0</v>
      </c>
      <c r="V16" s="26">
        <f>ROUNDDOWN(SUM(S16,U16,IF(P16&lt;&gt;"",T16,ROUNDDOWN(T16/2,0))),0)-Generali!AR7
</f>
        <v>6</v>
      </c>
      <c r="W16" s="1"/>
      <c r="X16" s="19" t="s">
        <v>54</v>
      </c>
      <c r="Y16" s="27"/>
      <c r="Z16" s="28"/>
      <c r="AA16" s="22" t="s">
        <v>46</v>
      </c>
      <c r="AB16" s="23">
        <f>Generali!X13</f>
        <v>2</v>
      </c>
      <c r="AC16" s="25"/>
      <c r="AD16" s="24">
        <v>2.0</v>
      </c>
      <c r="AE16" s="26">
        <f>ROUNDDOWN(SUM(AB16,AD16,IF(Y16&lt;&gt;"",AC16,ROUNDDOWN(AC16/2,0))),0)-Generali!AR7
</f>
        <v>4</v>
      </c>
    </row>
    <row r="17" ht="16.5" customHeight="1">
      <c r="A17" s="1"/>
      <c r="B17" s="41"/>
      <c r="C17" s="38"/>
      <c r="D17" s="38"/>
      <c r="E17" s="39"/>
      <c r="F17" s="32"/>
      <c r="G17" s="42"/>
      <c r="H17" s="1"/>
      <c r="I17" s="34"/>
      <c r="M17" s="35"/>
      <c r="N17" s="1"/>
      <c r="O17" s="19" t="s">
        <v>55</v>
      </c>
      <c r="P17" s="20" t="s">
        <v>28</v>
      </c>
      <c r="Q17" s="21"/>
      <c r="R17" s="22" t="s">
        <v>56</v>
      </c>
      <c r="S17" s="23">
        <f>Generali!X9</f>
        <v>1</v>
      </c>
      <c r="T17" s="24">
        <v>3.0</v>
      </c>
      <c r="U17" s="25"/>
      <c r="V17" s="26">
        <f>ROUNDDOWN(SUM(S17,U17,IF(P17&lt;&gt;"",T17,ROUNDDOWN(T17/2,0))),0)-Generali!AR7
</f>
        <v>4</v>
      </c>
      <c r="W17" s="1"/>
      <c r="X17" s="19" t="s">
        <v>57</v>
      </c>
      <c r="Y17" s="27"/>
      <c r="Z17" s="28"/>
      <c r="AA17" s="22" t="s">
        <v>58</v>
      </c>
      <c r="AB17" s="23"/>
      <c r="AC17" s="25"/>
      <c r="AD17" s="25"/>
      <c r="AE17" s="26">
        <f>ROUNDDOWN(SUM(AB17,AD17,IF(Y17&lt;&gt;"",AC17,ROUNDDOWN(AC17/2,0))),0)</f>
        <v>0</v>
      </c>
    </row>
    <row r="18" ht="16.5" customHeight="1">
      <c r="A18" s="1"/>
      <c r="B18" s="41"/>
      <c r="C18" s="38"/>
      <c r="D18" s="38"/>
      <c r="E18" s="39"/>
      <c r="F18" s="32"/>
      <c r="G18" s="42"/>
      <c r="H18" s="1"/>
      <c r="I18" s="34"/>
      <c r="M18" s="35"/>
      <c r="N18" s="1"/>
      <c r="O18" s="19" t="s">
        <v>59</v>
      </c>
      <c r="P18" s="20" t="s">
        <v>28</v>
      </c>
      <c r="Q18" s="21"/>
      <c r="R18" s="22" t="s">
        <v>60</v>
      </c>
      <c r="S18" s="23">
        <f>Generali!$X$11</f>
        <v>4</v>
      </c>
      <c r="T18" s="24">
        <v>1.0</v>
      </c>
      <c r="U18" s="25"/>
      <c r="V18" s="26">
        <f>ROUNDDOWN(SUM(S18,U18,IF(P18&lt;&gt;"",T18,ROUNDDOWN(T18/2,0))),0)-Generali!AR7
</f>
        <v>5</v>
      </c>
      <c r="W18" s="1"/>
      <c r="X18" s="19" t="s">
        <v>61</v>
      </c>
      <c r="Y18" s="27"/>
      <c r="Z18" s="28"/>
      <c r="AA18" s="22" t="s">
        <v>25</v>
      </c>
      <c r="AB18" s="23">
        <f>Generali!X13</f>
        <v>2</v>
      </c>
      <c r="AC18" s="25"/>
      <c r="AD18" s="25"/>
      <c r="AE18" s="26">
        <f>ROUNDDOWN(SUM(AB18,AD18,IF(Y18&lt;&gt;"",AC18,ROUNDDOWN(AC18/2,0))),0)-Generali!AR7
</f>
        <v>2</v>
      </c>
    </row>
    <row r="19" ht="16.5" customHeight="1">
      <c r="A19" s="1"/>
      <c r="B19" s="41"/>
      <c r="C19" s="38"/>
      <c r="D19" s="38"/>
      <c r="E19" s="39"/>
      <c r="F19" s="32"/>
      <c r="G19" s="42"/>
      <c r="H19" s="1"/>
      <c r="I19" s="34"/>
      <c r="M19" s="35"/>
      <c r="N19" s="1"/>
      <c r="O19" s="45" t="s">
        <v>62</v>
      </c>
      <c r="P19" s="20" t="s">
        <v>28</v>
      </c>
      <c r="Q19" s="21"/>
      <c r="R19" s="22" t="s">
        <v>60</v>
      </c>
      <c r="S19" s="23">
        <f>Generali!$X$11</f>
        <v>4</v>
      </c>
      <c r="T19" s="24">
        <v>3.0</v>
      </c>
      <c r="U19" s="25"/>
      <c r="V19" s="26">
        <f>ROUNDDOWN(SUM(S19,U19,IF(P19&lt;&gt;"",T19,ROUNDDOWN(T19/2,0))),0)-Generali!AR7
</f>
        <v>7</v>
      </c>
      <c r="W19" s="1"/>
      <c r="X19" s="19" t="s">
        <v>63</v>
      </c>
      <c r="Y19" s="46" t="s">
        <v>28</v>
      </c>
      <c r="Z19" s="47"/>
      <c r="AA19" s="22" t="s">
        <v>46</v>
      </c>
      <c r="AB19" s="23">
        <f>Generali!X13</f>
        <v>2</v>
      </c>
      <c r="AC19" s="25"/>
      <c r="AD19" s="25"/>
      <c r="AE19" s="26">
        <f>ROUNDDOWN(SUM(AB19,AD19,IF(Y19&lt;&gt;"",AC19,ROUNDDOWN(AC19/2,0))),0)-Generali!AR7
</f>
        <v>2</v>
      </c>
    </row>
    <row r="20" ht="16.5" customHeight="1">
      <c r="A20" s="1"/>
      <c r="B20" s="41"/>
      <c r="C20" s="38"/>
      <c r="D20" s="38"/>
      <c r="E20" s="39"/>
      <c r="F20" s="32"/>
      <c r="G20" s="42"/>
      <c r="H20" s="1"/>
      <c r="I20" s="34"/>
      <c r="M20" s="35"/>
      <c r="N20" s="1"/>
      <c r="O20" s="45" t="s">
        <v>64</v>
      </c>
      <c r="P20" s="20" t="s">
        <v>28</v>
      </c>
      <c r="Q20" s="21"/>
      <c r="R20" s="22" t="s">
        <v>60</v>
      </c>
      <c r="S20" s="23">
        <f>Generali!$X$11</f>
        <v>4</v>
      </c>
      <c r="T20" s="24">
        <v>1.0</v>
      </c>
      <c r="U20" s="25"/>
      <c r="V20" s="26">
        <f>ROUNDDOWN(SUM(S20,U20,IF(P20&lt;&gt;"",T20,ROUNDDOWN(T20/2,0))),0)-Generali!AR7
</f>
        <v>5</v>
      </c>
      <c r="W20" s="1"/>
      <c r="X20" s="19" t="s">
        <v>65</v>
      </c>
      <c r="Y20" s="27"/>
      <c r="Z20" s="28"/>
      <c r="AA20" s="22" t="s">
        <v>46</v>
      </c>
      <c r="AB20" s="23">
        <f>Generali!X13</f>
        <v>2</v>
      </c>
      <c r="AC20" s="25"/>
      <c r="AD20" s="25"/>
      <c r="AE20" s="26">
        <f>ROUNDDOWN(SUM(AB20,AD20,IF(Y20&lt;&gt;"",AC20,ROUNDDOWN(AC20/2,0))),0)-Generali!AR7
</f>
        <v>2</v>
      </c>
    </row>
    <row r="21" ht="16.5" customHeight="1">
      <c r="A21" s="1"/>
      <c r="B21" s="41"/>
      <c r="C21" s="38"/>
      <c r="D21" s="38"/>
      <c r="E21" s="39"/>
      <c r="F21" s="32"/>
      <c r="G21" s="42"/>
      <c r="H21" s="1"/>
      <c r="I21" s="34"/>
      <c r="M21" s="35"/>
      <c r="N21" s="1"/>
      <c r="O21" s="45" t="s">
        <v>66</v>
      </c>
      <c r="P21" s="20" t="s">
        <v>28</v>
      </c>
      <c r="Q21" s="21"/>
      <c r="R21" s="22" t="s">
        <v>60</v>
      </c>
      <c r="S21" s="23">
        <f>Generali!$X$11</f>
        <v>4</v>
      </c>
      <c r="T21" s="24">
        <v>1.0</v>
      </c>
      <c r="U21" s="25"/>
      <c r="V21" s="26">
        <f>ROUNDDOWN(SUM(S21,U21,IF(P21&lt;&gt;"",T21,ROUNDDOWN(T21/2,0))),0)-Generali!AR7
</f>
        <v>5</v>
      </c>
      <c r="W21" s="1"/>
      <c r="X21" s="19" t="s">
        <v>67</v>
      </c>
      <c r="Y21" s="27"/>
      <c r="Z21" s="28"/>
      <c r="AA21" s="22" t="s">
        <v>30</v>
      </c>
      <c r="AB21" s="23">
        <f>Generali!X15</f>
        <v>2</v>
      </c>
      <c r="AC21" s="24"/>
      <c r="AD21" s="25"/>
      <c r="AE21" s="26">
        <f>ROUNDDOWN(SUM(AB21,AD21,IF(Y21&lt;&gt;"",AC21,ROUNDDOWN(AC21/2,0))),0)-Generali!AR7
</f>
        <v>2</v>
      </c>
    </row>
    <row r="22" ht="16.5" customHeight="1">
      <c r="A22" s="1"/>
      <c r="B22" s="41"/>
      <c r="C22" s="38"/>
      <c r="D22" s="38"/>
      <c r="E22" s="39"/>
      <c r="F22" s="32"/>
      <c r="G22" s="42"/>
      <c r="H22" s="1"/>
      <c r="I22" s="34"/>
      <c r="M22" s="35"/>
      <c r="N22" s="1"/>
      <c r="O22" s="45" t="s">
        <v>68</v>
      </c>
      <c r="P22" s="20" t="s">
        <v>28</v>
      </c>
      <c r="Q22" s="21"/>
      <c r="R22" s="22" t="s">
        <v>60</v>
      </c>
      <c r="S22" s="23">
        <f>Generali!$X$11</f>
        <v>4</v>
      </c>
      <c r="T22" s="24">
        <v>1.0</v>
      </c>
      <c r="U22" s="25"/>
      <c r="V22" s="26">
        <f>ROUNDDOWN(SUM(S22,U22,IF(P22&lt;&gt;"",T22,ROUNDDOWN(T22/2,0))),0)-Generali!AR7
</f>
        <v>5</v>
      </c>
      <c r="W22" s="1"/>
      <c r="X22" s="19" t="s">
        <v>69</v>
      </c>
      <c r="Y22" s="27"/>
      <c r="Z22" s="28"/>
      <c r="AA22" s="22" t="s">
        <v>30</v>
      </c>
      <c r="AB22" s="23">
        <f>Generali!X15</f>
        <v>2</v>
      </c>
      <c r="AC22" s="25"/>
      <c r="AD22" s="25"/>
      <c r="AE22" s="26">
        <f>ROUNDDOWN(SUM(AB22,AD22,IF(Y22&lt;&gt;"",AC22,ROUNDDOWN(AC22/2,0))),0)-Generali!AR7
</f>
        <v>2</v>
      </c>
    </row>
    <row r="23" ht="16.5" customHeight="1">
      <c r="A23" s="1"/>
      <c r="B23" s="41"/>
      <c r="C23" s="38"/>
      <c r="D23" s="38"/>
      <c r="E23" s="39"/>
      <c r="F23" s="32"/>
      <c r="G23" s="42"/>
      <c r="H23" s="1"/>
      <c r="I23" s="34"/>
      <c r="M23" s="35"/>
      <c r="N23" s="1"/>
      <c r="O23" s="45" t="s">
        <v>70</v>
      </c>
      <c r="P23" s="20" t="s">
        <v>28</v>
      </c>
      <c r="Q23" s="21"/>
      <c r="R23" s="22" t="s">
        <v>60</v>
      </c>
      <c r="S23" s="23">
        <f>Generali!$X$11</f>
        <v>4</v>
      </c>
      <c r="T23" s="24">
        <v>1.0</v>
      </c>
      <c r="U23" s="25"/>
      <c r="V23" s="26">
        <f>ROUNDDOWN(SUM(S23,U23,IF(P23&lt;&gt;"",T23,ROUNDDOWN(T23/2,0))),0)-Generali!AR7
</f>
        <v>5</v>
      </c>
      <c r="W23" s="1"/>
      <c r="X23" s="19" t="s">
        <v>71</v>
      </c>
      <c r="Y23" s="46"/>
      <c r="Z23" s="47"/>
      <c r="AA23" s="22" t="s">
        <v>72</v>
      </c>
      <c r="AB23" s="23">
        <f>Generali!X7</f>
        <v>3</v>
      </c>
      <c r="AC23" s="24"/>
      <c r="AD23" s="25"/>
      <c r="AE23" s="26">
        <f>ROUNDDOWN(SUM(AB23,AD23,IF(Y23&lt;&gt;"",AC23,ROUNDDOWN(AC23/2,0))),0)+Equip!Y5+Equip!X13+IF(AC22&gt;4,2,0)-Generali!AR7</f>
        <v>3</v>
      </c>
    </row>
    <row r="24" ht="16.5" customHeight="1">
      <c r="A24" s="1"/>
      <c r="B24" s="41"/>
      <c r="C24" s="38"/>
      <c r="D24" s="38"/>
      <c r="E24" s="39"/>
      <c r="F24" s="32"/>
      <c r="G24" s="42"/>
      <c r="H24" s="1"/>
      <c r="I24" s="34"/>
      <c r="M24" s="35"/>
      <c r="N24" s="1"/>
      <c r="O24" s="45" t="s">
        <v>73</v>
      </c>
      <c r="P24" s="20" t="s">
        <v>28</v>
      </c>
      <c r="Q24" s="21"/>
      <c r="R24" s="22" t="s">
        <v>60</v>
      </c>
      <c r="S24" s="23">
        <f>Generali!$X$11</f>
        <v>4</v>
      </c>
      <c r="T24" s="24">
        <v>2.0</v>
      </c>
      <c r="U24" s="25"/>
      <c r="V24" s="26">
        <f>ROUNDDOWN(SUM(S24,U24,IF(P24&lt;&gt;"",T24,ROUNDDOWN(T24/2,0))),0)-Generali!AR7
</f>
        <v>6</v>
      </c>
      <c r="W24" s="1"/>
      <c r="X24" s="19" t="s">
        <v>74</v>
      </c>
      <c r="Y24" s="27"/>
      <c r="Z24" s="28"/>
      <c r="AA24" s="22" t="s">
        <v>52</v>
      </c>
      <c r="AB24" s="23">
        <f>Generali!X5</f>
        <v>1</v>
      </c>
      <c r="AC24" s="25"/>
      <c r="AD24" s="25"/>
      <c r="AE24" s="26">
        <f>ROUNDDOWN(SUM(AB24,AD24,IF(Y24&lt;&gt;"",AC24,ROUNDDOWN(AC24/2,0))),0)+Equip!Y5+Equip!X13+IF(T4&gt;4,2,0)-Generali!AR7</f>
        <v>1</v>
      </c>
    </row>
    <row r="25" ht="16.5" customHeight="1">
      <c r="A25" s="1"/>
      <c r="B25" s="41"/>
      <c r="C25" s="38"/>
      <c r="D25" s="38"/>
      <c r="E25" s="39"/>
      <c r="F25" s="32"/>
      <c r="G25" s="42"/>
      <c r="H25" s="1"/>
      <c r="I25" s="34"/>
      <c r="M25" s="35"/>
      <c r="N25" s="1"/>
      <c r="O25" s="45" t="s">
        <v>75</v>
      </c>
      <c r="P25" s="20" t="s">
        <v>28</v>
      </c>
      <c r="Q25" s="21"/>
      <c r="R25" s="22" t="s">
        <v>60</v>
      </c>
      <c r="S25" s="23">
        <f>Generali!$X$11</f>
        <v>4</v>
      </c>
      <c r="T25" s="24">
        <v>2.0</v>
      </c>
      <c r="U25" s="25"/>
      <c r="V25" s="26">
        <f>ROUNDDOWN(SUM(S25,U25,IF(P25&lt;&gt;"",T25,ROUNDDOWN(T25/2,0))),0)-Generali!AR7
</f>
        <v>6</v>
      </c>
      <c r="W25" s="1"/>
      <c r="X25" s="19" t="s">
        <v>76</v>
      </c>
      <c r="Y25" s="20" t="s">
        <v>28</v>
      </c>
      <c r="Z25" s="21"/>
      <c r="AA25" s="22" t="s">
        <v>60</v>
      </c>
      <c r="AB25" s="23">
        <f>Generali!$X$11</f>
        <v>4</v>
      </c>
      <c r="AC25" s="24">
        <v>4.0</v>
      </c>
      <c r="AD25" s="25"/>
      <c r="AE25" s="26">
        <f>ROUNDDOWN(SUM(AB25,AD25,IF(Y25&lt;&gt;"",AC25,ROUNDDOWN(AC25/2,0))),0)+IF(AC30&gt;4,2,0)-Generali!AR7</f>
        <v>8</v>
      </c>
    </row>
    <row r="26" ht="16.5" customHeight="1">
      <c r="A26" s="1"/>
      <c r="B26" s="41"/>
      <c r="C26" s="38"/>
      <c r="D26" s="38"/>
      <c r="E26" s="39"/>
      <c r="F26" s="32"/>
      <c r="G26" s="42"/>
      <c r="H26" s="1"/>
      <c r="I26" s="34"/>
      <c r="M26" s="35"/>
      <c r="N26" s="1"/>
      <c r="O26" s="45" t="s">
        <v>77</v>
      </c>
      <c r="P26" s="20" t="s">
        <v>28</v>
      </c>
      <c r="Q26" s="21"/>
      <c r="R26" s="22" t="s">
        <v>60</v>
      </c>
      <c r="S26" s="23">
        <f>Generali!$X$11</f>
        <v>4</v>
      </c>
      <c r="T26" s="24">
        <v>1.0</v>
      </c>
      <c r="U26" s="25"/>
      <c r="V26" s="26">
        <f>ROUNDDOWN(SUM(S26,U26,IF(P26&lt;&gt;"",T26,ROUNDDOWN(T26/2,0))),0)-Generali!AR7
</f>
        <v>5</v>
      </c>
      <c r="W26" s="1"/>
      <c r="X26" s="19" t="s">
        <v>78</v>
      </c>
      <c r="Y26" s="27"/>
      <c r="Z26" s="28"/>
      <c r="AA26" s="22" t="s">
        <v>52</v>
      </c>
      <c r="AB26" s="23">
        <f>Generali!X5</f>
        <v>1</v>
      </c>
      <c r="AC26" s="25"/>
      <c r="AD26" s="25"/>
      <c r="AE26" s="26">
        <f>ROUNDDOWN(SUM(AB26,AD26,IF(Y26&lt;&gt;"",AC26,ROUNDDOWN(AC26/2,0))),0)+Equip!Y5+Equip!X13+IF(AC29&gt;4,2,0)-Generali!AR7</f>
        <v>1</v>
      </c>
    </row>
    <row r="27" ht="16.5" customHeight="1">
      <c r="A27" s="1"/>
      <c r="B27" s="41"/>
      <c r="C27" s="38"/>
      <c r="D27" s="38"/>
      <c r="E27" s="39"/>
      <c r="F27" s="32"/>
      <c r="G27" s="42"/>
      <c r="H27" s="1"/>
      <c r="I27" s="34"/>
      <c r="M27" s="35"/>
      <c r="N27" s="1"/>
      <c r="O27" s="45" t="s">
        <v>79</v>
      </c>
      <c r="P27" s="20" t="s">
        <v>28</v>
      </c>
      <c r="Q27" s="21"/>
      <c r="R27" s="22" t="s">
        <v>60</v>
      </c>
      <c r="S27" s="23">
        <f>Generali!$X$11</f>
        <v>4</v>
      </c>
      <c r="T27" s="24">
        <v>1.0</v>
      </c>
      <c r="U27" s="25"/>
      <c r="V27" s="26">
        <f>ROUNDDOWN(SUM(S27,U27,IF(P27&lt;&gt;"",T27,ROUNDDOWN(T27/2,0))),0)-Generali!AR7
</f>
        <v>5</v>
      </c>
      <c r="W27" s="1"/>
      <c r="X27" s="19" t="s">
        <v>80</v>
      </c>
      <c r="Y27" s="27"/>
      <c r="Z27" s="28"/>
      <c r="AA27" s="22" t="s">
        <v>72</v>
      </c>
      <c r="AB27" s="23">
        <f>Generali!X7</f>
        <v>3</v>
      </c>
      <c r="AC27" s="24"/>
      <c r="AD27" s="25"/>
      <c r="AE27" s="26">
        <f>ROUNDDOWN(SUM(AB27,AD27,IF(Y27&lt;&gt;"",AC27,ROUNDDOWN(AC27/2,0))),0)-Generali!AR7
</f>
        <v>3</v>
      </c>
    </row>
    <row r="28" ht="16.5" customHeight="1">
      <c r="A28" s="1"/>
      <c r="B28" s="41"/>
      <c r="C28" s="38"/>
      <c r="D28" s="38"/>
      <c r="E28" s="39"/>
      <c r="F28" s="32"/>
      <c r="G28" s="42"/>
      <c r="H28" s="1"/>
      <c r="I28" s="34"/>
      <c r="M28" s="35"/>
      <c r="N28" s="1"/>
      <c r="O28" s="19" t="s">
        <v>81</v>
      </c>
      <c r="P28" s="20" t="s">
        <v>28</v>
      </c>
      <c r="Q28" s="21"/>
      <c r="R28" s="22" t="s">
        <v>60</v>
      </c>
      <c r="S28" s="23">
        <f>Generali!$X$11</f>
        <v>4</v>
      </c>
      <c r="T28" s="36"/>
      <c r="U28" s="25"/>
      <c r="V28" s="26">
        <f>ROUNDDOWN(SUM(S28,U28,IF(P28&lt;&gt;"",T28,ROUNDDOWN(T28/2,0))),0)-Generali!AR7
</f>
        <v>4</v>
      </c>
      <c r="W28" s="1"/>
      <c r="X28" s="19" t="s">
        <v>82</v>
      </c>
      <c r="Y28" s="27"/>
      <c r="Z28" s="28"/>
      <c r="AA28" s="22" t="s">
        <v>25</v>
      </c>
      <c r="AB28" s="23">
        <f>Generali!X13</f>
        <v>2</v>
      </c>
      <c r="AC28" s="25"/>
      <c r="AD28" s="25"/>
      <c r="AE28" s="26">
        <f>ROUNDDOWN(SUM(AB28,AD28,IF(Y28&lt;&gt;"",AC28,ROUNDDOWN(AC28/2,0))),0)-Generali!AR7
</f>
        <v>2</v>
      </c>
    </row>
    <row r="29" ht="16.5" customHeight="1">
      <c r="A29" s="1"/>
      <c r="B29" s="41"/>
      <c r="C29" s="38"/>
      <c r="D29" s="38"/>
      <c r="E29" s="39"/>
      <c r="F29" s="32"/>
      <c r="G29" s="42"/>
      <c r="H29" s="1"/>
      <c r="I29" s="34"/>
      <c r="M29" s="35"/>
      <c r="N29" s="1"/>
      <c r="O29" s="19" t="s">
        <v>83</v>
      </c>
      <c r="P29" s="20" t="s">
        <v>28</v>
      </c>
      <c r="Q29" s="21"/>
      <c r="R29" s="22" t="s">
        <v>60</v>
      </c>
      <c r="S29" s="23">
        <f>Generali!$X$11</f>
        <v>4</v>
      </c>
      <c r="T29" s="36"/>
      <c r="U29" s="25"/>
      <c r="V29" s="26">
        <f>ROUNDDOWN(SUM(S29,U29,IF(P29&lt;&gt;"",T29,ROUNDDOWN(T29/2,0))),0)-Generali!AR7
</f>
        <v>4</v>
      </c>
      <c r="W29" s="1"/>
      <c r="X29" s="19" t="s">
        <v>84</v>
      </c>
      <c r="Y29" s="27"/>
      <c r="Z29" s="28"/>
      <c r="AA29" s="22" t="s">
        <v>72</v>
      </c>
      <c r="AB29" s="23">
        <f>Generali!X7</f>
        <v>3</v>
      </c>
      <c r="AC29" s="25"/>
      <c r="AD29" s="25"/>
      <c r="AE29" s="26">
        <f>ROUNDDOWN(SUM(AB29,AD29,IF(Y29&lt;&gt;"",AC29,ROUNDDOWN(AC29/2,0))),0)+IF(T12&gt;4,2,0)-Generali!AR7</f>
        <v>3</v>
      </c>
    </row>
    <row r="30" ht="16.5" customHeight="1">
      <c r="A30" s="1"/>
      <c r="B30" s="48"/>
      <c r="C30" s="49"/>
      <c r="D30" s="49"/>
      <c r="E30" s="50"/>
      <c r="F30" s="51"/>
      <c r="G30" s="52"/>
      <c r="H30" s="1"/>
      <c r="I30" s="53"/>
      <c r="J30" s="54"/>
      <c r="K30" s="54"/>
      <c r="L30" s="54"/>
      <c r="M30" s="55"/>
      <c r="N30" s="1"/>
      <c r="O30" s="19" t="s">
        <v>85</v>
      </c>
      <c r="P30" s="20" t="s">
        <v>28</v>
      </c>
      <c r="Q30" s="21"/>
      <c r="R30" s="22" t="s">
        <v>60</v>
      </c>
      <c r="S30" s="23">
        <f>Generali!$X$11</f>
        <v>4</v>
      </c>
      <c r="T30" s="24">
        <v>3.0</v>
      </c>
      <c r="U30" s="25"/>
      <c r="V30" s="26">
        <f>ROUNDDOWN(SUM(S30,U30,IF(P30&lt;&gt;"",T30,ROUNDDOWN(T30/2,0))),0)-Generali!AR7
</f>
        <v>7</v>
      </c>
      <c r="W30" s="1"/>
      <c r="X30" s="19" t="s">
        <v>86</v>
      </c>
      <c r="Y30" s="27"/>
      <c r="Z30" s="28"/>
      <c r="AA30" s="22" t="s">
        <v>23</v>
      </c>
      <c r="AB30" s="23">
        <f>Generali!X15</f>
        <v>2</v>
      </c>
      <c r="AC30" s="25"/>
      <c r="AD30" s="25"/>
      <c r="AE30" s="26">
        <f>ROUNDDOWN(SUM(AB30,AD30,IF(Y30&lt;&gt;"",AC30,ROUNDDOWN(AC30/2,0))),0)+IF(AC25&gt;4,2,0)+IF(T30&gt;4,2,0)-Generali!AR7</f>
        <v>2</v>
      </c>
    </row>
    <row r="31" ht="16.5" customHeight="1">
      <c r="A31" s="1"/>
      <c r="B31" s="1"/>
      <c r="C31" s="1"/>
      <c r="D31" s="1"/>
      <c r="E31" s="1"/>
      <c r="F31" s="1"/>
      <c r="G31" s="1"/>
      <c r="H31" s="1"/>
      <c r="N31" s="1"/>
      <c r="O31" s="19" t="s">
        <v>87</v>
      </c>
      <c r="P31" s="27"/>
      <c r="Q31" s="28"/>
      <c r="R31" s="22" t="s">
        <v>30</v>
      </c>
      <c r="S31" s="23">
        <f>Generali!X15</f>
        <v>2</v>
      </c>
      <c r="T31" s="36"/>
      <c r="U31" s="25"/>
      <c r="V31" s="26">
        <f>ROUNDDOWN(SUM(S31,U31,IF(P31&lt;&gt;"",T31,ROUNDDOWN(T31/2,0))),0)+IF(AC22&gt;4,2,0)+IF(AC18&gt;4,2,0)-Generali!AR7</f>
        <v>2</v>
      </c>
      <c r="W31" s="1"/>
      <c r="X31" s="19" t="s">
        <v>88</v>
      </c>
      <c r="Y31" s="27"/>
      <c r="Z31" s="28"/>
      <c r="AA31" s="22" t="s">
        <v>19</v>
      </c>
      <c r="AB31" s="23">
        <f>Generali!$X$11</f>
        <v>4</v>
      </c>
      <c r="AC31" s="25"/>
      <c r="AD31" s="25"/>
      <c r="AE31" s="26">
        <f>ROUNDDOWN(SUM(AB31,AD31,IF(Y31&lt;&gt;"",AC31,ROUNDDOWN(AC31/2,0))),0)-Generali!AR7
</f>
        <v>4</v>
      </c>
    </row>
    <row r="32" ht="16.5" customHeight="1">
      <c r="A32" s="1"/>
      <c r="B32" s="1"/>
      <c r="C32" s="1"/>
      <c r="D32" s="1"/>
      <c r="E32" s="1"/>
      <c r="F32" s="1"/>
      <c r="G32" s="1"/>
      <c r="H32" s="1"/>
      <c r="N32" s="1"/>
      <c r="O32" s="19" t="s">
        <v>89</v>
      </c>
      <c r="P32" s="27"/>
      <c r="Q32" s="28"/>
      <c r="R32" s="22" t="s">
        <v>60</v>
      </c>
      <c r="S32" s="23">
        <f>Generali!$X$11</f>
        <v>4</v>
      </c>
      <c r="T32" s="24"/>
      <c r="U32" s="25"/>
      <c r="V32" s="26">
        <f>ROUNDDOWN(SUM(S32,U32,IF(P32&lt;&gt;"",T32,ROUNDDOWN(T32/2,0))),0)-Generali!AR7
</f>
        <v>4</v>
      </c>
      <c r="W32" s="1"/>
      <c r="X32" s="56" t="s">
        <v>90</v>
      </c>
      <c r="Y32" s="57"/>
      <c r="Z32" s="58"/>
      <c r="AA32" s="59"/>
      <c r="AB32" s="60"/>
      <c r="AC32" s="61">
        <f t="shared" ref="AC32:AD32" si="1">SUM(T4:T33,AC4:AC31)</f>
        <v>24</v>
      </c>
      <c r="AD32" s="61">
        <f t="shared" si="1"/>
        <v>6</v>
      </c>
      <c r="AE32" s="60">
        <f>Generali!Q12+3</f>
        <v>4</v>
      </c>
    </row>
    <row r="33" ht="15.0" customHeight="1">
      <c r="A33" s="1"/>
      <c r="B33" s="1"/>
      <c r="C33" s="1"/>
      <c r="D33" s="1"/>
      <c r="E33" s="1"/>
      <c r="F33" s="1"/>
      <c r="G33" s="1"/>
      <c r="H33" s="1"/>
      <c r="N33" s="1"/>
      <c r="O33" s="56" t="s">
        <v>91</v>
      </c>
      <c r="P33" s="57"/>
      <c r="Q33" s="58"/>
      <c r="R33" s="59" t="s">
        <v>43</v>
      </c>
      <c r="S33" s="60">
        <f>Generali!X7</f>
        <v>3</v>
      </c>
      <c r="T33" s="36"/>
      <c r="U33" s="61"/>
      <c r="V33" s="62">
        <f>ROUNDDOWN(SUM(S33,U33,IF(P33&lt;&gt;"",T33,ROUNDDOWN(T33/2,0))),0)+Equip!Y5+Equip!X13+IF(T4&gt;4,2,0)-Generali!AR7</f>
        <v>3</v>
      </c>
      <c r="W33" s="1"/>
      <c r="X33" s="63" t="s">
        <v>92</v>
      </c>
      <c r="AD33" s="1"/>
      <c r="AE33" s="64"/>
    </row>
    <row r="34" ht="16.5" customHeight="1">
      <c r="A34" s="1"/>
      <c r="B34" s="1"/>
      <c r="C34" s="1"/>
      <c r="D34" s="1"/>
      <c r="E34" s="1"/>
      <c r="F34" s="1"/>
      <c r="G34" s="1"/>
      <c r="H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65" t="s">
        <v>93</v>
      </c>
      <c r="Y34" s="54"/>
      <c r="Z34" s="54"/>
      <c r="AA34" s="54"/>
      <c r="AB34" s="54"/>
      <c r="AC34" s="54"/>
      <c r="AD34" s="54"/>
      <c r="AE34" s="55"/>
    </row>
    <row r="35" ht="16.5" customHeight="1">
      <c r="A35" s="1"/>
      <c r="B35" s="1"/>
      <c r="C35" s="1"/>
      <c r="D35" s="1"/>
      <c r="E35" s="1"/>
      <c r="F35" s="1"/>
      <c r="G35" s="1"/>
      <c r="H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66"/>
      <c r="AC35" s="67"/>
      <c r="AD35" s="67"/>
      <c r="AE35" s="67"/>
    </row>
    <row r="36" ht="16.5" customHeight="1">
      <c r="A36" s="1"/>
      <c r="B36" s="1"/>
      <c r="C36" s="1"/>
      <c r="D36" s="1"/>
      <c r="E36" s="1"/>
      <c r="F36" s="1"/>
      <c r="G36" s="1"/>
      <c r="H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</sheetData>
  <mergeCells count="35"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X33:AC33"/>
    <mergeCell ref="X34:AE34"/>
    <mergeCell ref="X35:AB35"/>
    <mergeCell ref="B1:C1"/>
    <mergeCell ref="E1:F1"/>
    <mergeCell ref="B3:G3"/>
    <mergeCell ref="I3:M3"/>
    <mergeCell ref="B4:E4"/>
    <mergeCell ref="I4:M30"/>
    <mergeCell ref="B5:E5"/>
    <mergeCell ref="B30:E30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</mergeCells>
  <conditionalFormatting sqref="AC4">
    <cfRule type="notContainsBlanks" dxfId="0" priority="1">
      <formula>LEN(TRIM(AC4))&gt;0</formula>
    </cfRule>
  </conditionalFormatting>
  <dataValidations>
    <dataValidation type="custom" allowBlank="1" showDropDown="1" showErrorMessage="1" sqref="AC4:AC31 T4:T33">
      <formula1>SUM($T$4:$T$33 , $AC$4:$AC$31)&lt;= $D$1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0"/>
    <col customWidth="1" min="2" max="2" width="1.88"/>
    <col customWidth="1" min="3" max="4" width="8.0"/>
    <col customWidth="1" min="5" max="5" width="6.88"/>
    <col customWidth="1" min="6" max="6" width="1.0"/>
    <col customWidth="1" min="7" max="7" width="8.0"/>
    <col customWidth="1" min="8" max="8" width="1.38"/>
    <col customWidth="1" min="9" max="9" width="8.0"/>
    <col customWidth="1" min="10" max="10" width="1.38"/>
    <col customWidth="1" min="11" max="11" width="8.0"/>
    <col customWidth="1" min="12" max="12" width="1.13"/>
    <col customWidth="1" min="13" max="13" width="9.0"/>
    <col customWidth="1" min="14" max="14" width="12.0"/>
    <col customWidth="1" min="15" max="15" width="13.25"/>
    <col customWidth="1" min="16" max="16" width="13.88"/>
    <col customWidth="1" min="17" max="17" width="5.13"/>
    <col customWidth="1" min="18" max="18" width="7.75"/>
    <col customWidth="1" min="19" max="19" width="7.88"/>
    <col customWidth="1" min="20" max="20" width="6.63"/>
    <col customWidth="1" min="21" max="21" width="8.38"/>
    <col customWidth="1" min="22" max="22" width="2.63"/>
    <col customWidth="1" min="23" max="25" width="8.0"/>
    <col customWidth="1" min="26" max="26" width="1.88"/>
    <col customWidth="1" min="27" max="27" width="8.0"/>
    <col customWidth="1" min="28" max="28" width="1.88"/>
    <col customWidth="1" min="29" max="29" width="8.0"/>
    <col customWidth="1" min="30" max="30" width="2.25"/>
    <col customWidth="1" min="31" max="31" width="8.0"/>
    <col customWidth="1" min="32" max="32" width="5.5"/>
    <col customWidth="1" min="33" max="33" width="3.5"/>
    <col customWidth="1" min="34" max="34" width="1.13"/>
    <col customWidth="1" min="35" max="35" width="3.88"/>
    <col customWidth="1" min="36" max="36" width="8.0"/>
    <col customWidth="1" min="37" max="37" width="1.5"/>
    <col customWidth="1" min="38" max="38" width="8.0"/>
    <col customWidth="1" min="39" max="39" width="1.38"/>
    <col customWidth="1" min="40" max="40" width="8.5"/>
    <col customWidth="1" min="41" max="41" width="1.25"/>
    <col customWidth="1" min="42" max="42" width="8.0"/>
    <col customWidth="1" min="43" max="43" width="1.25"/>
    <col customWidth="1" min="44" max="44" width="8.5"/>
    <col customWidth="1" min="45" max="45" width="1.38"/>
    <col customWidth="1" min="46" max="46" width="8.5"/>
    <col customWidth="1" min="47" max="47" width="2.25"/>
  </cols>
  <sheetData>
    <row r="1" ht="9.0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</row>
    <row r="2" ht="15.75" customHeight="1">
      <c r="A2" s="68"/>
      <c r="B2" s="68"/>
      <c r="C2" s="69" t="s">
        <v>94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8"/>
      <c r="T2" s="68"/>
      <c r="U2" s="70" t="s">
        <v>95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4"/>
      <c r="AH2" s="68"/>
      <c r="AI2" s="71" t="s">
        <v>96</v>
      </c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5"/>
    </row>
    <row r="3" ht="15.75" customHeight="1">
      <c r="A3" s="68"/>
      <c r="B3" s="68"/>
      <c r="C3" s="72" t="s">
        <v>97</v>
      </c>
      <c r="D3" s="38"/>
      <c r="E3" s="38"/>
      <c r="F3" s="73"/>
      <c r="G3" s="74" t="s">
        <v>98</v>
      </c>
      <c r="H3" s="38"/>
      <c r="I3" s="38"/>
      <c r="J3" s="38"/>
      <c r="K3" s="38"/>
      <c r="L3" s="38"/>
      <c r="M3" s="38"/>
      <c r="N3" s="38"/>
      <c r="O3" s="38"/>
      <c r="P3" s="38"/>
      <c r="Q3" s="38"/>
      <c r="R3" s="75"/>
      <c r="S3" s="68"/>
      <c r="T3" s="68"/>
      <c r="U3" s="76" t="s">
        <v>99</v>
      </c>
      <c r="V3" s="17"/>
      <c r="W3" s="77"/>
      <c r="X3" s="78" t="s">
        <v>100</v>
      </c>
      <c r="Y3" s="79" t="s">
        <v>101</v>
      </c>
      <c r="Z3" s="17"/>
      <c r="AA3" s="77"/>
      <c r="AB3" s="80" t="s">
        <v>102</v>
      </c>
      <c r="AC3" s="17"/>
      <c r="AD3" s="17"/>
      <c r="AE3" s="17"/>
      <c r="AF3" s="17"/>
      <c r="AG3" s="18"/>
      <c r="AH3" s="68"/>
      <c r="AI3" s="81"/>
      <c r="AJ3" s="82" t="s">
        <v>103</v>
      </c>
      <c r="AK3" s="30"/>
      <c r="AL3" s="30"/>
      <c r="AM3" s="83"/>
      <c r="AN3" s="84" t="s">
        <v>104</v>
      </c>
      <c r="AO3" s="85"/>
      <c r="AP3" s="86" t="s">
        <v>105</v>
      </c>
      <c r="AQ3" s="83"/>
      <c r="AR3" s="86" t="s">
        <v>106</v>
      </c>
      <c r="AS3" s="83"/>
      <c r="AT3" s="86" t="s">
        <v>107</v>
      </c>
      <c r="AU3" s="87"/>
    </row>
    <row r="4" ht="15.75" customHeight="1">
      <c r="A4" s="68"/>
      <c r="B4" s="68"/>
      <c r="C4" s="88" t="s">
        <v>108</v>
      </c>
      <c r="D4" s="30"/>
      <c r="E4" s="30"/>
      <c r="F4" s="89"/>
      <c r="G4" s="90"/>
      <c r="H4" s="30"/>
      <c r="I4" s="30"/>
      <c r="J4" s="30"/>
      <c r="K4" s="30"/>
      <c r="L4" s="91"/>
      <c r="M4" s="92" t="s">
        <v>109</v>
      </c>
      <c r="N4" s="30"/>
      <c r="O4" s="30"/>
      <c r="P4" s="93"/>
      <c r="Q4" s="38"/>
      <c r="R4" s="75"/>
      <c r="S4" s="68"/>
      <c r="T4" s="68"/>
      <c r="U4" s="53"/>
      <c r="V4" s="54"/>
      <c r="W4" s="94"/>
      <c r="X4" s="95"/>
      <c r="Y4" s="96"/>
      <c r="Z4" s="54"/>
      <c r="AA4" s="94"/>
      <c r="AB4" s="96"/>
      <c r="AC4" s="54"/>
      <c r="AD4" s="54"/>
      <c r="AE4" s="54"/>
      <c r="AF4" s="54"/>
      <c r="AG4" s="55"/>
      <c r="AH4" s="68"/>
      <c r="AI4" s="81"/>
      <c r="AJ4" s="97">
        <f>SUM(K14:K31)+((X9)*SUM(G14:G31))+AN4-(AR7*5)</f>
        <v>5</v>
      </c>
      <c r="AK4" s="98"/>
      <c r="AL4" s="99"/>
      <c r="AM4" s="100"/>
      <c r="AN4" s="101"/>
      <c r="AO4" s="83"/>
      <c r="AP4" s="102">
        <v>4.0</v>
      </c>
      <c r="AQ4" s="103"/>
      <c r="AR4" s="101"/>
      <c r="AS4" s="83"/>
      <c r="AT4" s="101"/>
      <c r="AU4" s="87"/>
    </row>
    <row r="5" ht="15.75" customHeight="1">
      <c r="A5" s="68"/>
      <c r="B5" s="68"/>
      <c r="C5" s="104" t="s">
        <v>110</v>
      </c>
      <c r="D5" s="105" t="s">
        <v>111</v>
      </c>
      <c r="E5" s="38"/>
      <c r="F5" s="38"/>
      <c r="G5" s="38"/>
      <c r="H5" s="38"/>
      <c r="I5" s="38"/>
      <c r="J5" s="89"/>
      <c r="K5" s="89" t="s">
        <v>112</v>
      </c>
      <c r="L5" s="105" t="s">
        <v>113</v>
      </c>
      <c r="M5" s="38"/>
      <c r="N5" s="106"/>
      <c r="O5" s="89" t="s">
        <v>114</v>
      </c>
      <c r="P5" s="74" t="s">
        <v>115</v>
      </c>
      <c r="Q5" s="38"/>
      <c r="R5" s="75"/>
      <c r="S5" s="68"/>
      <c r="T5" s="68"/>
      <c r="U5" s="107" t="s">
        <v>116</v>
      </c>
      <c r="V5" s="108">
        <v>12.0</v>
      </c>
      <c r="W5" s="109"/>
      <c r="X5" s="110">
        <f>IF(MOD(((V5+Y5+Z5)-10)/2, 1)&lt;&gt;0, ((V5+Y5+Z5)-10)/2-0.5, ((V5+Y5+Z5)-10)/2)</f>
        <v>1</v>
      </c>
      <c r="Y5" s="111"/>
      <c r="Z5" s="112"/>
      <c r="AA5" s="113"/>
      <c r="AB5" s="114"/>
      <c r="AC5" s="115"/>
      <c r="AD5" s="115"/>
      <c r="AE5" s="115"/>
      <c r="AF5" s="115"/>
      <c r="AG5" s="116"/>
      <c r="AH5" s="68"/>
      <c r="AI5" s="81"/>
      <c r="AJ5" s="117"/>
      <c r="AK5" s="118"/>
      <c r="AL5" s="119"/>
      <c r="AM5" s="100"/>
      <c r="AN5" s="120"/>
      <c r="AO5" s="83"/>
      <c r="AP5" s="120"/>
      <c r="AQ5" s="103"/>
      <c r="AR5" s="120"/>
      <c r="AS5" s="83"/>
      <c r="AT5" s="120"/>
      <c r="AU5" s="87"/>
    </row>
    <row r="6" ht="15.75" customHeight="1">
      <c r="A6" s="68"/>
      <c r="B6" s="68"/>
      <c r="C6" s="121" t="s">
        <v>117</v>
      </c>
      <c r="D6" s="122">
        <v>115.0</v>
      </c>
      <c r="E6" s="123" t="s">
        <v>118</v>
      </c>
      <c r="F6" s="124">
        <v>0.1076388888888889</v>
      </c>
      <c r="G6" s="38"/>
      <c r="H6" s="123"/>
      <c r="I6" s="123" t="s">
        <v>119</v>
      </c>
      <c r="J6" s="125"/>
      <c r="K6" s="38"/>
      <c r="L6" s="123"/>
      <c r="M6" s="123" t="s">
        <v>120</v>
      </c>
      <c r="N6" s="123"/>
      <c r="O6" s="123"/>
      <c r="P6" s="74" t="s">
        <v>121</v>
      </c>
      <c r="Q6" s="38"/>
      <c r="R6" s="126"/>
      <c r="S6" s="68"/>
      <c r="T6" s="68"/>
      <c r="U6" s="127"/>
      <c r="V6" s="117"/>
      <c r="W6" s="119"/>
      <c r="X6" s="128"/>
      <c r="Y6" s="129"/>
      <c r="Z6" s="117"/>
      <c r="AA6" s="130"/>
      <c r="AB6" s="131"/>
      <c r="AC6" s="118"/>
      <c r="AD6" s="118"/>
      <c r="AE6" s="118"/>
      <c r="AF6" s="118"/>
      <c r="AG6" s="132"/>
      <c r="AH6" s="68"/>
      <c r="AI6" s="81"/>
      <c r="AJ6" s="85"/>
      <c r="AK6" s="85"/>
      <c r="AL6" s="83"/>
      <c r="AM6" s="83"/>
      <c r="AN6" s="83"/>
      <c r="AO6" s="83"/>
      <c r="AP6" s="83"/>
      <c r="AQ6" s="83"/>
      <c r="AR6" s="84" t="s">
        <v>122</v>
      </c>
      <c r="AS6" s="83"/>
      <c r="AT6" s="84" t="s">
        <v>123</v>
      </c>
      <c r="AU6" s="87"/>
    </row>
    <row r="7" ht="15.75" customHeight="1">
      <c r="A7" s="68"/>
      <c r="B7" s="68"/>
      <c r="C7" s="133" t="s">
        <v>124</v>
      </c>
      <c r="D7" s="134"/>
      <c r="E7" s="135" t="s">
        <v>125</v>
      </c>
      <c r="F7" s="134"/>
      <c r="G7" s="134"/>
      <c r="H7" s="134"/>
      <c r="I7" s="134"/>
      <c r="J7" s="134"/>
      <c r="K7" s="134"/>
      <c r="L7" s="136"/>
      <c r="M7" s="137" t="s">
        <v>126</v>
      </c>
      <c r="N7" s="138"/>
      <c r="O7" s="138"/>
      <c r="P7" s="134"/>
      <c r="Q7" s="134"/>
      <c r="R7" s="139"/>
      <c r="S7" s="68"/>
      <c r="T7" s="68"/>
      <c r="U7" s="140" t="s">
        <v>72</v>
      </c>
      <c r="V7" s="141">
        <v>17.0</v>
      </c>
      <c r="W7" s="99"/>
      <c r="X7" s="142">
        <f>IF(MOD(((V7+Y7+Z7)-10)/2, 1)&lt;&gt;0, ((V7+Y7+Z7)-10)/2-0.5, ((V7+Y7+Z7)-10)/2)</f>
        <v>3</v>
      </c>
      <c r="Y7" s="143"/>
      <c r="Z7" s="144"/>
      <c r="AA7" s="145"/>
      <c r="AB7" s="144"/>
      <c r="AC7" s="98"/>
      <c r="AD7" s="98"/>
      <c r="AE7" s="98"/>
      <c r="AF7" s="98"/>
      <c r="AG7" s="146"/>
      <c r="AH7" s="68"/>
      <c r="AI7" s="81"/>
      <c r="AJ7" s="147" t="s">
        <v>127</v>
      </c>
      <c r="AK7" s="148"/>
      <c r="AL7" s="149"/>
      <c r="AM7" s="99"/>
      <c r="AN7" s="150" t="s">
        <v>128</v>
      </c>
      <c r="AO7" s="109"/>
      <c r="AP7" s="101"/>
      <c r="AQ7" s="83"/>
      <c r="AR7" s="151"/>
      <c r="AS7" s="148"/>
      <c r="AT7" s="101"/>
      <c r="AU7" s="87"/>
    </row>
    <row r="8" ht="15.75" customHeight="1">
      <c r="A8" s="68"/>
      <c r="B8" s="68"/>
      <c r="C8" s="72" t="s">
        <v>129</v>
      </c>
      <c r="D8" s="38"/>
      <c r="E8" s="125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75"/>
      <c r="S8" s="68"/>
      <c r="T8" s="68"/>
      <c r="U8" s="127"/>
      <c r="V8" s="117"/>
      <c r="W8" s="119"/>
      <c r="X8" s="128"/>
      <c r="Y8" s="129"/>
      <c r="Z8" s="117"/>
      <c r="AA8" s="130"/>
      <c r="AB8" s="117"/>
      <c r="AC8" s="118"/>
      <c r="AD8" s="118"/>
      <c r="AE8" s="118"/>
      <c r="AF8" s="118"/>
      <c r="AG8" s="132"/>
      <c r="AH8" s="68"/>
      <c r="AI8" s="81"/>
      <c r="AJ8" s="152"/>
      <c r="AK8" s="148"/>
      <c r="AL8" s="117"/>
      <c r="AM8" s="119"/>
      <c r="AN8" s="153"/>
      <c r="AO8" s="154"/>
      <c r="AP8" s="120"/>
      <c r="AQ8" s="83"/>
      <c r="AR8" s="120"/>
      <c r="AS8" s="148"/>
      <c r="AT8" s="120"/>
      <c r="AU8" s="87"/>
    </row>
    <row r="9" ht="15.75" customHeight="1">
      <c r="A9" s="68"/>
      <c r="B9" s="68"/>
      <c r="C9" s="155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7"/>
      <c r="S9" s="68"/>
      <c r="T9" s="68"/>
      <c r="U9" s="140" t="s">
        <v>130</v>
      </c>
      <c r="V9" s="158">
        <f>15-2</f>
        <v>13</v>
      </c>
      <c r="W9" s="99"/>
      <c r="X9" s="159">
        <f>IF(MOD(((V9+Y9+Z9)-10)/2, 1)&lt;&gt;0, ((V9+Y9+Z9)-10)/2-0.5, ((V9+Y9+Z9)-10)/2)</f>
        <v>1</v>
      </c>
      <c r="Y9" s="143"/>
      <c r="Z9" s="144"/>
      <c r="AA9" s="145"/>
      <c r="AB9" s="144"/>
      <c r="AC9" s="98"/>
      <c r="AD9" s="98"/>
      <c r="AE9" s="98"/>
      <c r="AF9" s="98"/>
      <c r="AG9" s="146"/>
      <c r="AH9" s="68"/>
      <c r="AI9" s="81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7"/>
    </row>
    <row r="10" ht="15.75" customHeight="1">
      <c r="A10" s="68"/>
      <c r="B10" s="68"/>
      <c r="C10" s="160"/>
      <c r="D10" s="160"/>
      <c r="E10" s="160"/>
      <c r="F10" s="160"/>
      <c r="G10" s="160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68"/>
      <c r="S10" s="68"/>
      <c r="T10" s="68"/>
      <c r="U10" s="127"/>
      <c r="V10" s="117"/>
      <c r="W10" s="119"/>
      <c r="X10" s="161"/>
      <c r="Y10" s="129"/>
      <c r="Z10" s="117"/>
      <c r="AA10" s="130"/>
      <c r="AB10" s="117"/>
      <c r="AC10" s="118"/>
      <c r="AD10" s="118"/>
      <c r="AE10" s="118"/>
      <c r="AF10" s="118"/>
      <c r="AG10" s="132"/>
      <c r="AH10" s="68"/>
      <c r="AI10" s="81"/>
      <c r="AJ10" s="162"/>
      <c r="AK10" s="162"/>
      <c r="AL10" s="162"/>
      <c r="AM10" s="162"/>
      <c r="AN10" s="163" t="s">
        <v>131</v>
      </c>
      <c r="AO10" s="30"/>
      <c r="AP10" s="30"/>
      <c r="AQ10" s="164"/>
      <c r="AR10" s="162"/>
      <c r="AS10" s="162"/>
      <c r="AT10" s="162"/>
      <c r="AU10" s="87"/>
    </row>
    <row r="11" ht="15.75" customHeight="1">
      <c r="A11" s="68"/>
      <c r="B11" s="68"/>
      <c r="C11" s="70" t="s">
        <v>132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4"/>
      <c r="T11" s="68"/>
      <c r="U11" s="140" t="s">
        <v>60</v>
      </c>
      <c r="V11" s="141">
        <f>17+2</f>
        <v>19</v>
      </c>
      <c r="W11" s="99"/>
      <c r="X11" s="159">
        <f>IF(MOD(((V11+Y11+Z11)-10)/2, 1)&lt;&gt;0, ((V11+Y11+Z11)-10)/2-0.5, ((V11+Y11+Z11)-10)/2)</f>
        <v>4</v>
      </c>
      <c r="Y11" s="143"/>
      <c r="Z11" s="144"/>
      <c r="AA11" s="145"/>
      <c r="AB11" s="144"/>
      <c r="AC11" s="98"/>
      <c r="AD11" s="98"/>
      <c r="AE11" s="98"/>
      <c r="AF11" s="98"/>
      <c r="AG11" s="146"/>
      <c r="AH11" s="68"/>
      <c r="AI11" s="165"/>
      <c r="AJ11" s="83"/>
      <c r="AK11" s="83"/>
      <c r="AL11" s="83"/>
      <c r="AM11" s="83"/>
      <c r="AN11" s="83"/>
      <c r="AO11" s="83"/>
      <c r="AP11" s="83"/>
      <c r="AQ11" s="83"/>
      <c r="AR11" s="83"/>
      <c r="AS11" s="83"/>
      <c r="AT11" s="83"/>
      <c r="AU11" s="87"/>
    </row>
    <row r="12" ht="15.75" customHeight="1">
      <c r="A12" s="68"/>
      <c r="B12" s="68"/>
      <c r="C12" s="76" t="s">
        <v>5</v>
      </c>
      <c r="D12" s="17"/>
      <c r="E12" s="17"/>
      <c r="F12" s="77"/>
      <c r="G12" s="80" t="s">
        <v>133</v>
      </c>
      <c r="H12" s="77"/>
      <c r="I12" s="80" t="s">
        <v>134</v>
      </c>
      <c r="J12" s="77"/>
      <c r="K12" s="80" t="s">
        <v>135</v>
      </c>
      <c r="L12" s="77"/>
      <c r="M12" s="166" t="s">
        <v>136</v>
      </c>
      <c r="N12" s="166" t="s">
        <v>137</v>
      </c>
      <c r="O12" s="167" t="s">
        <v>138</v>
      </c>
      <c r="P12" s="168" t="s">
        <v>139</v>
      </c>
      <c r="Q12" s="169">
        <f> SUM(G14:H31)</f>
        <v>1</v>
      </c>
      <c r="R12" s="98"/>
      <c r="S12" s="146"/>
      <c r="T12" s="68"/>
      <c r="U12" s="127"/>
      <c r="V12" s="117"/>
      <c r="W12" s="119"/>
      <c r="X12" s="161"/>
      <c r="Y12" s="129"/>
      <c r="Z12" s="117"/>
      <c r="AA12" s="130"/>
      <c r="AB12" s="117"/>
      <c r="AC12" s="118"/>
      <c r="AD12" s="118"/>
      <c r="AE12" s="118"/>
      <c r="AF12" s="118"/>
      <c r="AG12" s="132"/>
      <c r="AH12" s="68"/>
      <c r="AI12" s="165"/>
      <c r="AJ12" s="170"/>
      <c r="AK12" s="171"/>
      <c r="AL12" s="170"/>
      <c r="AM12" s="171"/>
      <c r="AN12" s="170"/>
      <c r="AO12" s="171"/>
      <c r="AP12" s="170"/>
      <c r="AQ12" s="171"/>
      <c r="AR12" s="170"/>
      <c r="AS12" s="171"/>
      <c r="AT12" s="170"/>
      <c r="AU12" s="87"/>
    </row>
    <row r="13" ht="15.75" customHeight="1">
      <c r="A13" s="68"/>
      <c r="B13" s="68"/>
      <c r="C13" s="172"/>
      <c r="D13" s="118"/>
      <c r="E13" s="118"/>
      <c r="F13" s="119"/>
      <c r="G13" s="117"/>
      <c r="H13" s="119"/>
      <c r="I13" s="117"/>
      <c r="J13" s="119"/>
      <c r="K13" s="117"/>
      <c r="L13" s="119"/>
      <c r="M13" s="120"/>
      <c r="N13" s="120"/>
      <c r="O13" s="173"/>
      <c r="P13" s="174"/>
      <c r="Q13" s="131"/>
      <c r="R13" s="118"/>
      <c r="S13" s="132"/>
      <c r="T13" s="68"/>
      <c r="U13" s="140" t="s">
        <v>46</v>
      </c>
      <c r="V13" s="141">
        <v>15.0</v>
      </c>
      <c r="W13" s="99"/>
      <c r="X13" s="159">
        <f>IF(MOD(((V13+Y13+Z13)-10)/2, 1)&lt;&gt;0, ((V13+Y13+Z13)-10)/2-0.5, ((V13+Y13+Z13)-10)/2)</f>
        <v>2</v>
      </c>
      <c r="Y13" s="143"/>
      <c r="Z13" s="144"/>
      <c r="AA13" s="145"/>
      <c r="AB13" s="144"/>
      <c r="AC13" s="98"/>
      <c r="AD13" s="98"/>
      <c r="AE13" s="98"/>
      <c r="AF13" s="98"/>
      <c r="AG13" s="146"/>
      <c r="AH13" s="68"/>
      <c r="AI13" s="165"/>
      <c r="AJ13" s="120"/>
      <c r="AK13" s="171"/>
      <c r="AL13" s="120"/>
      <c r="AM13" s="171"/>
      <c r="AN13" s="120"/>
      <c r="AO13" s="171"/>
      <c r="AP13" s="120"/>
      <c r="AQ13" s="171"/>
      <c r="AR13" s="120"/>
      <c r="AS13" s="171"/>
      <c r="AT13" s="120"/>
      <c r="AU13" s="87"/>
    </row>
    <row r="14" ht="15.75" customHeight="1">
      <c r="A14" s="68"/>
      <c r="B14" s="175" t="s">
        <v>140</v>
      </c>
      <c r="C14" s="176" t="s">
        <v>141</v>
      </c>
      <c r="D14" s="98"/>
      <c r="E14" s="98"/>
      <c r="F14" s="99"/>
      <c r="G14" s="177">
        <v>1.0</v>
      </c>
      <c r="H14" s="99"/>
      <c r="I14" s="177" t="s">
        <v>142</v>
      </c>
      <c r="J14" s="99"/>
      <c r="K14" s="177">
        <v>4.0</v>
      </c>
      <c r="L14" s="99"/>
      <c r="M14" s="102" t="s">
        <v>141</v>
      </c>
      <c r="N14" s="102" t="s">
        <v>143</v>
      </c>
      <c r="O14" s="178">
        <f>24</f>
        <v>24</v>
      </c>
      <c r="P14" s="179" t="s">
        <v>144</v>
      </c>
      <c r="Q14" s="180">
        <f>100+175</f>
        <v>275</v>
      </c>
      <c r="R14" s="98"/>
      <c r="S14" s="146"/>
      <c r="T14" s="68"/>
      <c r="U14" s="127"/>
      <c r="V14" s="117"/>
      <c r="W14" s="119"/>
      <c r="X14" s="161"/>
      <c r="Y14" s="129"/>
      <c r="Z14" s="117"/>
      <c r="AA14" s="130"/>
      <c r="AB14" s="117"/>
      <c r="AC14" s="118"/>
      <c r="AD14" s="118"/>
      <c r="AE14" s="118"/>
      <c r="AF14" s="118"/>
      <c r="AG14" s="132"/>
      <c r="AH14" s="68"/>
      <c r="AI14" s="16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7"/>
    </row>
    <row r="15" ht="15.75" customHeight="1">
      <c r="A15" s="68"/>
      <c r="B15" s="117"/>
      <c r="C15" s="172"/>
      <c r="D15" s="118"/>
      <c r="E15" s="118"/>
      <c r="F15" s="119"/>
      <c r="G15" s="117"/>
      <c r="H15" s="119"/>
      <c r="I15" s="117"/>
      <c r="J15" s="119"/>
      <c r="K15" s="117"/>
      <c r="L15" s="119"/>
      <c r="M15" s="120"/>
      <c r="N15" s="120"/>
      <c r="O15" s="173"/>
      <c r="P15" s="181"/>
      <c r="Q15" s="131"/>
      <c r="R15" s="118"/>
      <c r="S15" s="132"/>
      <c r="T15" s="68"/>
      <c r="U15" s="140" t="s">
        <v>23</v>
      </c>
      <c r="V15" s="141">
        <v>15.0</v>
      </c>
      <c r="W15" s="99"/>
      <c r="X15" s="142">
        <f>IF(MOD(((V15+Y15+Z15)-10)/2, 1)&lt;&gt;0, ((V15+Y15+Z15)-10)/2-0.5, ((V15+Y15+Z15)-10)/2)</f>
        <v>2</v>
      </c>
      <c r="Y15" s="143"/>
      <c r="Z15" s="144"/>
      <c r="AA15" s="145"/>
      <c r="AB15" s="144"/>
      <c r="AC15" s="98"/>
      <c r="AD15" s="98"/>
      <c r="AE15" s="98"/>
      <c r="AF15" s="98"/>
      <c r="AG15" s="146"/>
      <c r="AH15" s="68"/>
      <c r="AI15" s="182"/>
      <c r="AJ15" s="183"/>
      <c r="AK15" s="171"/>
      <c r="AL15" s="183"/>
      <c r="AM15" s="171"/>
      <c r="AN15" s="183"/>
      <c r="AO15" s="171"/>
      <c r="AP15" s="183"/>
      <c r="AQ15" s="171"/>
      <c r="AR15" s="183"/>
      <c r="AS15" s="171"/>
      <c r="AT15" s="183"/>
      <c r="AU15" s="184"/>
    </row>
    <row r="16" ht="15.75" customHeight="1">
      <c r="A16" s="68"/>
      <c r="B16" s="175" t="s">
        <v>145</v>
      </c>
      <c r="C16" s="185"/>
      <c r="D16" s="98"/>
      <c r="E16" s="98"/>
      <c r="F16" s="99"/>
      <c r="G16" s="144"/>
      <c r="H16" s="99"/>
      <c r="I16" s="144"/>
      <c r="J16" s="99"/>
      <c r="K16" s="144"/>
      <c r="L16" s="99"/>
      <c r="M16" s="101"/>
      <c r="N16" s="101"/>
      <c r="O16" s="186"/>
      <c r="P16" s="187" t="s">
        <v>146</v>
      </c>
      <c r="Q16" s="188">
        <f>VLOOKUP(Q12+1, Utility!A2:B21, 2, FALSE) - Q14
</f>
        <v>725</v>
      </c>
      <c r="R16" s="98"/>
      <c r="S16" s="146"/>
      <c r="T16" s="68"/>
      <c r="U16" s="189"/>
      <c r="V16" s="96"/>
      <c r="W16" s="94"/>
      <c r="X16" s="190"/>
      <c r="Y16" s="191"/>
      <c r="Z16" s="96"/>
      <c r="AA16" s="192"/>
      <c r="AB16" s="96"/>
      <c r="AC16" s="54"/>
      <c r="AD16" s="54"/>
      <c r="AE16" s="54"/>
      <c r="AF16" s="54"/>
      <c r="AG16" s="55"/>
      <c r="AH16" s="68"/>
      <c r="AI16" s="193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5"/>
    </row>
    <row r="17" ht="15.75" customHeight="1">
      <c r="A17" s="68"/>
      <c r="B17" s="117"/>
      <c r="C17" s="172"/>
      <c r="D17" s="118"/>
      <c r="E17" s="118"/>
      <c r="F17" s="119"/>
      <c r="G17" s="117"/>
      <c r="H17" s="119"/>
      <c r="I17" s="117"/>
      <c r="J17" s="119"/>
      <c r="K17" s="117"/>
      <c r="L17" s="119"/>
      <c r="M17" s="120"/>
      <c r="N17" s="120"/>
      <c r="O17" s="173"/>
      <c r="P17" s="174"/>
      <c r="Q17" s="131"/>
      <c r="R17" s="118"/>
      <c r="S17" s="132"/>
      <c r="T17" s="68"/>
      <c r="U17" s="196" t="str">
        <f>IF(AR7&gt;0, "sottrarre " &amp; Generali!AR7 &amp; " dalle prove caratteristica", "Non hai livelli negativi")</f>
        <v>Non hai livelli negativi</v>
      </c>
      <c r="V17" s="13"/>
      <c r="W17" s="13"/>
      <c r="X17" s="13"/>
      <c r="Y17" s="13"/>
      <c r="Z17" s="13"/>
      <c r="AA17" s="13"/>
      <c r="AB17" s="197"/>
      <c r="AC17" s="197"/>
      <c r="AD17" s="197"/>
      <c r="AE17" s="197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</row>
    <row r="18" ht="15.75" customHeight="1">
      <c r="A18" s="68"/>
      <c r="B18" s="175" t="s">
        <v>147</v>
      </c>
      <c r="C18" s="185"/>
      <c r="D18" s="98"/>
      <c r="E18" s="98"/>
      <c r="F18" s="99"/>
      <c r="G18" s="144"/>
      <c r="H18" s="99"/>
      <c r="I18" s="144"/>
      <c r="J18" s="99"/>
      <c r="K18" s="144"/>
      <c r="L18" s="99"/>
      <c r="M18" s="101"/>
      <c r="N18" s="101"/>
      <c r="O18" s="186"/>
      <c r="P18" s="187" t="s">
        <v>148</v>
      </c>
      <c r="Q18" s="188"/>
      <c r="R18" s="98"/>
      <c r="S18" s="146"/>
      <c r="T18" s="68"/>
      <c r="U18" s="198" t="s">
        <v>149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4"/>
      <c r="AH18" s="68"/>
      <c r="AI18" s="68"/>
      <c r="AJ18" s="199"/>
      <c r="AK18" s="200" t="s">
        <v>150</v>
      </c>
      <c r="AL18" s="4"/>
      <c r="AM18" s="4"/>
      <c r="AN18" s="4"/>
      <c r="AO18" s="4"/>
      <c r="AP18" s="4"/>
      <c r="AQ18" s="4"/>
      <c r="AR18" s="4"/>
      <c r="AS18" s="4"/>
      <c r="AT18" s="4"/>
      <c r="AU18" s="5"/>
    </row>
    <row r="19" ht="15.75" customHeight="1">
      <c r="A19" s="68"/>
      <c r="B19" s="117"/>
      <c r="C19" s="172"/>
      <c r="D19" s="118"/>
      <c r="E19" s="118"/>
      <c r="F19" s="119"/>
      <c r="G19" s="117"/>
      <c r="H19" s="119"/>
      <c r="I19" s="117"/>
      <c r="J19" s="119"/>
      <c r="K19" s="117"/>
      <c r="L19" s="119"/>
      <c r="M19" s="120"/>
      <c r="N19" s="120"/>
      <c r="O19" s="173"/>
      <c r="P19" s="174"/>
      <c r="Q19" s="131"/>
      <c r="R19" s="118"/>
      <c r="S19" s="132"/>
      <c r="T19" s="68"/>
      <c r="U19" s="201" t="s">
        <v>151</v>
      </c>
      <c r="V19" s="162"/>
      <c r="W19" s="85"/>
      <c r="X19" s="85"/>
      <c r="Y19" s="202"/>
      <c r="Z19" s="202"/>
      <c r="AA19" s="85"/>
      <c r="AB19" s="85"/>
      <c r="AC19" s="85"/>
      <c r="AD19" s="85"/>
      <c r="AE19" s="85"/>
      <c r="AF19" s="85"/>
      <c r="AG19" s="87"/>
      <c r="AH19" s="68"/>
      <c r="AI19" s="68"/>
      <c r="AJ19" s="68"/>
      <c r="AK19" s="165"/>
      <c r="AL19" s="85" t="s">
        <v>152</v>
      </c>
      <c r="AM19" s="85"/>
      <c r="AN19" s="85" t="s">
        <v>153</v>
      </c>
      <c r="AO19" s="85"/>
      <c r="AP19" s="85" t="s">
        <v>154</v>
      </c>
      <c r="AQ19" s="85"/>
      <c r="AR19" s="85" t="s">
        <v>155</v>
      </c>
      <c r="AS19" s="85"/>
      <c r="AT19" s="85"/>
      <c r="AU19" s="87"/>
    </row>
    <row r="20" ht="15.75" customHeight="1">
      <c r="A20" s="68"/>
      <c r="B20" s="175" t="s">
        <v>156</v>
      </c>
      <c r="C20" s="185"/>
      <c r="D20" s="98"/>
      <c r="E20" s="98"/>
      <c r="F20" s="99"/>
      <c r="G20" s="144"/>
      <c r="H20" s="99"/>
      <c r="I20" s="144"/>
      <c r="J20" s="99"/>
      <c r="K20" s="144"/>
      <c r="L20" s="99"/>
      <c r="M20" s="101"/>
      <c r="N20" s="101"/>
      <c r="O20" s="186"/>
      <c r="P20" s="187" t="s">
        <v>157</v>
      </c>
      <c r="Q20" s="188"/>
      <c r="R20" s="98"/>
      <c r="S20" s="146"/>
      <c r="T20" s="68"/>
      <c r="U20" s="203"/>
      <c r="V20" s="204" t="s">
        <v>140</v>
      </c>
      <c r="W20" s="205">
        <v>0.0</v>
      </c>
      <c r="X20" s="85"/>
      <c r="Y20" s="84" t="s">
        <v>158</v>
      </c>
      <c r="Z20" s="84"/>
      <c r="AA20" s="84" t="s">
        <v>159</v>
      </c>
      <c r="AB20" s="84"/>
      <c r="AC20" s="84" t="s">
        <v>160</v>
      </c>
      <c r="AD20" s="85"/>
      <c r="AE20" s="84" t="s">
        <v>161</v>
      </c>
      <c r="AF20" s="85"/>
      <c r="AG20" s="87"/>
      <c r="AH20" s="68"/>
      <c r="AI20" s="68"/>
      <c r="AJ20" s="68"/>
      <c r="AK20" s="165"/>
      <c r="AL20" s="206">
        <f>X7</f>
        <v>3</v>
      </c>
      <c r="AM20" s="171" t="s">
        <v>162</v>
      </c>
      <c r="AN20" s="207"/>
      <c r="AO20" s="171" t="s">
        <v>162</v>
      </c>
      <c r="AP20" s="207"/>
      <c r="AQ20" s="171" t="s">
        <v>162</v>
      </c>
      <c r="AR20" s="207"/>
      <c r="AS20" s="171" t="s">
        <v>163</v>
      </c>
      <c r="AT20" s="207">
        <f>AL20+AN20+AP20+AR20</f>
        <v>3</v>
      </c>
      <c r="AU20" s="87"/>
    </row>
    <row r="21" ht="15.75" customHeight="1">
      <c r="A21" s="68"/>
      <c r="B21" s="117"/>
      <c r="C21" s="172"/>
      <c r="D21" s="118"/>
      <c r="E21" s="118"/>
      <c r="F21" s="119"/>
      <c r="G21" s="117"/>
      <c r="H21" s="119"/>
      <c r="I21" s="117"/>
      <c r="J21" s="119"/>
      <c r="K21" s="117"/>
      <c r="L21" s="119"/>
      <c r="M21" s="120"/>
      <c r="N21" s="120"/>
      <c r="O21" s="173"/>
      <c r="P21" s="208"/>
      <c r="Q21" s="209"/>
      <c r="R21" s="54"/>
      <c r="S21" s="55"/>
      <c r="T21" s="68"/>
      <c r="U21" s="203"/>
      <c r="V21" s="210" t="s">
        <v>145</v>
      </c>
      <c r="W21" s="207"/>
      <c r="X21" s="85"/>
      <c r="Y21" s="207">
        <f>SUM(W20:W30)-W31</f>
        <v>0</v>
      </c>
      <c r="Z21" s="171" t="s">
        <v>162</v>
      </c>
      <c r="AA21" s="207"/>
      <c r="AB21" s="171" t="s">
        <v>162</v>
      </c>
      <c r="AC21" s="207">
        <f>X5</f>
        <v>1</v>
      </c>
      <c r="AD21" s="171" t="s">
        <v>163</v>
      </c>
      <c r="AE21" s="207">
        <f>SUM(Y21,AA21,AC21)-AR7</f>
        <v>1</v>
      </c>
      <c r="AF21" s="85"/>
      <c r="AG21" s="87"/>
      <c r="AH21" s="68"/>
      <c r="AI21" s="68"/>
      <c r="AJ21" s="68"/>
      <c r="AK21" s="193"/>
      <c r="AL21" s="194"/>
      <c r="AM21" s="194"/>
      <c r="AN21" s="194"/>
      <c r="AO21" s="194"/>
      <c r="AP21" s="194"/>
      <c r="AQ21" s="194"/>
      <c r="AR21" s="194"/>
      <c r="AS21" s="194"/>
      <c r="AT21" s="194"/>
      <c r="AU21" s="195"/>
    </row>
    <row r="22" ht="15.75" customHeight="1">
      <c r="A22" s="68"/>
      <c r="B22" s="175" t="s">
        <v>164</v>
      </c>
      <c r="C22" s="185"/>
      <c r="D22" s="98"/>
      <c r="E22" s="98"/>
      <c r="F22" s="99"/>
      <c r="G22" s="144"/>
      <c r="H22" s="99"/>
      <c r="I22" s="144"/>
      <c r="J22" s="99"/>
      <c r="K22" s="144"/>
      <c r="L22" s="99"/>
      <c r="M22" s="101"/>
      <c r="N22" s="101"/>
      <c r="O22" s="211"/>
      <c r="P22" s="212"/>
      <c r="Q22" s="212"/>
      <c r="R22" s="212"/>
      <c r="S22" s="68"/>
      <c r="T22" s="68"/>
      <c r="U22" s="203"/>
      <c r="V22" s="210" t="s">
        <v>147</v>
      </c>
      <c r="W22" s="207"/>
      <c r="X22" s="85"/>
      <c r="Y22" s="171" t="s">
        <v>162</v>
      </c>
      <c r="Z22" s="85"/>
      <c r="AA22" s="85"/>
      <c r="AB22" s="85"/>
      <c r="AC22" s="84" t="s">
        <v>165</v>
      </c>
      <c r="AD22" s="85"/>
      <c r="AE22" s="84" t="s">
        <v>166</v>
      </c>
      <c r="AF22" s="85"/>
      <c r="AG22" s="87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</row>
    <row r="23" ht="15.75" customHeight="1">
      <c r="A23" s="68"/>
      <c r="B23" s="117"/>
      <c r="C23" s="172"/>
      <c r="D23" s="118"/>
      <c r="E23" s="118"/>
      <c r="F23" s="119"/>
      <c r="G23" s="117"/>
      <c r="H23" s="119"/>
      <c r="I23" s="117"/>
      <c r="J23" s="119"/>
      <c r="K23" s="117"/>
      <c r="L23" s="119"/>
      <c r="M23" s="120"/>
      <c r="N23" s="120"/>
      <c r="O23" s="173"/>
      <c r="P23" s="213" t="s">
        <v>167</v>
      </c>
      <c r="Q23" s="214" t="s">
        <v>168</v>
      </c>
      <c r="R23" s="215"/>
      <c r="S23" s="216" t="s">
        <v>169</v>
      </c>
      <c r="T23" s="68"/>
      <c r="U23" s="203"/>
      <c r="V23" s="210" t="s">
        <v>156</v>
      </c>
      <c r="W23" s="207"/>
      <c r="X23" s="85"/>
      <c r="Y23" s="207"/>
      <c r="Z23" s="217" t="s">
        <v>170</v>
      </c>
      <c r="AA23" s="218"/>
      <c r="AB23" s="171"/>
      <c r="AC23" s="207">
        <f>X7</f>
        <v>3</v>
      </c>
      <c r="AD23" s="171" t="s">
        <v>163</v>
      </c>
      <c r="AE23" s="207">
        <f>SUM(Y21,AA21,AC23)-AR7</f>
        <v>3</v>
      </c>
      <c r="AF23" s="85"/>
      <c r="AG23" s="87"/>
      <c r="AH23" s="68"/>
      <c r="AI23" s="219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1"/>
    </row>
    <row r="24" ht="15.75" customHeight="1">
      <c r="A24" s="68"/>
      <c r="B24" s="175" t="s">
        <v>171</v>
      </c>
      <c r="C24" s="185"/>
      <c r="D24" s="98"/>
      <c r="E24" s="98"/>
      <c r="F24" s="99"/>
      <c r="G24" s="144"/>
      <c r="H24" s="99"/>
      <c r="I24" s="144"/>
      <c r="J24" s="99"/>
      <c r="K24" s="144"/>
      <c r="L24" s="99"/>
      <c r="M24" s="101"/>
      <c r="N24" s="101"/>
      <c r="O24" s="211"/>
      <c r="P24" s="222"/>
      <c r="Q24" s="223" t="s">
        <v>172</v>
      </c>
      <c r="R24" s="39"/>
      <c r="S24" s="224"/>
      <c r="T24" s="68"/>
      <c r="U24" s="203"/>
      <c r="V24" s="210" t="s">
        <v>164</v>
      </c>
      <c r="W24" s="207"/>
      <c r="X24" s="85"/>
      <c r="Y24" s="171" t="s">
        <v>162</v>
      </c>
      <c r="Z24" s="85"/>
      <c r="AA24" s="225"/>
      <c r="AB24" s="85"/>
      <c r="AC24" s="85"/>
      <c r="AD24" s="85"/>
      <c r="AE24" s="85"/>
      <c r="AF24" s="85"/>
      <c r="AG24" s="87"/>
      <c r="AH24" s="68"/>
      <c r="AI24" s="165"/>
      <c r="AJ24" s="226">
        <f>SUM(AL25,AN25,AP25,AR25,AT25,AR27,AP27,AN27,AL27,AT27)+W31</f>
        <v>13</v>
      </c>
      <c r="AK24" s="85"/>
      <c r="AL24" s="171"/>
      <c r="AM24" s="171"/>
      <c r="AN24" s="227" t="s">
        <v>173</v>
      </c>
      <c r="AO24" s="227"/>
      <c r="AP24" s="227" t="s">
        <v>174</v>
      </c>
      <c r="AQ24" s="227"/>
      <c r="AR24" s="227" t="s">
        <v>152</v>
      </c>
      <c r="AS24" s="227"/>
      <c r="AT24" s="227" t="s">
        <v>159</v>
      </c>
      <c r="AU24" s="228"/>
    </row>
    <row r="25" ht="15.75" customHeight="1">
      <c r="A25" s="68"/>
      <c r="B25" s="117"/>
      <c r="C25" s="172"/>
      <c r="D25" s="118"/>
      <c r="E25" s="118"/>
      <c r="F25" s="119"/>
      <c r="G25" s="117"/>
      <c r="H25" s="119"/>
      <c r="I25" s="117"/>
      <c r="J25" s="119"/>
      <c r="K25" s="117"/>
      <c r="L25" s="119"/>
      <c r="M25" s="120"/>
      <c r="N25" s="120"/>
      <c r="O25" s="173"/>
      <c r="P25" s="222"/>
      <c r="Q25" s="223" t="s">
        <v>175</v>
      </c>
      <c r="R25" s="39"/>
      <c r="S25" s="224"/>
      <c r="T25" s="68"/>
      <c r="U25" s="203"/>
      <c r="V25" s="210" t="s">
        <v>171</v>
      </c>
      <c r="W25" s="207"/>
      <c r="X25" s="85"/>
      <c r="Y25" s="207">
        <f>X5</f>
        <v>1</v>
      </c>
      <c r="Z25" s="217" t="s">
        <v>160</v>
      </c>
      <c r="AA25" s="218"/>
      <c r="AB25" s="85"/>
      <c r="AC25" s="85"/>
      <c r="AD25" s="85"/>
      <c r="AE25" s="85"/>
      <c r="AF25" s="85"/>
      <c r="AG25" s="87"/>
      <c r="AH25" s="68"/>
      <c r="AI25" s="165"/>
      <c r="AJ25" s="152"/>
      <c r="AK25" s="85" t="s">
        <v>163</v>
      </c>
      <c r="AL25" s="206">
        <v>10.0</v>
      </c>
      <c r="AM25" s="171" t="s">
        <v>162</v>
      </c>
      <c r="AN25" s="206" t="str">
        <f>Equip!V5</f>
        <v/>
      </c>
      <c r="AO25" s="171" t="s">
        <v>162</v>
      </c>
      <c r="AP25" s="206" t="str">
        <f>Equip!V13</f>
        <v/>
      </c>
      <c r="AQ25" s="171" t="s">
        <v>162</v>
      </c>
      <c r="AR25" s="206">
        <f>IF(ISBLANK(Equip!X5), X7, IF(X7 &gt; Equip!X5, Equip!X5, X7))</f>
        <v>3</v>
      </c>
      <c r="AS25" s="171" t="s">
        <v>162</v>
      </c>
      <c r="AT25" s="207"/>
      <c r="AU25" s="228" t="s">
        <v>162</v>
      </c>
    </row>
    <row r="26" ht="15.75" customHeight="1">
      <c r="A26" s="68"/>
      <c r="B26" s="175" t="s">
        <v>176</v>
      </c>
      <c r="C26" s="185"/>
      <c r="D26" s="98"/>
      <c r="E26" s="98"/>
      <c r="F26" s="99"/>
      <c r="G26" s="144"/>
      <c r="H26" s="99"/>
      <c r="I26" s="144"/>
      <c r="J26" s="99"/>
      <c r="K26" s="144"/>
      <c r="L26" s="99"/>
      <c r="M26" s="101"/>
      <c r="N26" s="101"/>
      <c r="O26" s="211"/>
      <c r="P26" s="222"/>
      <c r="Q26" s="223" t="s">
        <v>177</v>
      </c>
      <c r="R26" s="39"/>
      <c r="S26" s="224"/>
      <c r="T26" s="68"/>
      <c r="U26" s="203"/>
      <c r="V26" s="210" t="s">
        <v>176</v>
      </c>
      <c r="W26" s="207"/>
      <c r="X26" s="85"/>
      <c r="Y26" s="171" t="s">
        <v>162</v>
      </c>
      <c r="Z26" s="85"/>
      <c r="AA26" s="225"/>
      <c r="AB26" s="229" t="s">
        <v>178</v>
      </c>
      <c r="AC26" s="134"/>
      <c r="AD26" s="134"/>
      <c r="AE26" s="134"/>
      <c r="AF26" s="230"/>
      <c r="AG26" s="231"/>
      <c r="AH26" s="68"/>
      <c r="AI26" s="165"/>
      <c r="AJ26" s="152"/>
      <c r="AK26" s="85"/>
      <c r="AL26" s="84" t="s">
        <v>179</v>
      </c>
      <c r="AM26" s="227"/>
      <c r="AN26" s="227" t="s">
        <v>180</v>
      </c>
      <c r="AO26" s="227"/>
      <c r="AP26" s="227" t="s">
        <v>154</v>
      </c>
      <c r="AQ26" s="227"/>
      <c r="AR26" s="227" t="s">
        <v>155</v>
      </c>
      <c r="AS26" s="171"/>
      <c r="AT26" s="227" t="s">
        <v>181</v>
      </c>
      <c r="AU26" s="228"/>
    </row>
    <row r="27" ht="15.75" customHeight="1">
      <c r="A27" s="68"/>
      <c r="B27" s="117"/>
      <c r="C27" s="172"/>
      <c r="D27" s="118"/>
      <c r="E27" s="118"/>
      <c r="F27" s="119"/>
      <c r="G27" s="117"/>
      <c r="H27" s="119"/>
      <c r="I27" s="117"/>
      <c r="J27" s="119"/>
      <c r="K27" s="117"/>
      <c r="L27" s="119"/>
      <c r="M27" s="120"/>
      <c r="N27" s="120"/>
      <c r="O27" s="173"/>
      <c r="P27" s="222"/>
      <c r="Q27" s="223" t="s">
        <v>182</v>
      </c>
      <c r="R27" s="39"/>
      <c r="S27" s="224"/>
      <c r="T27" s="68"/>
      <c r="U27" s="203"/>
      <c r="V27" s="210" t="s">
        <v>183</v>
      </c>
      <c r="W27" s="207"/>
      <c r="X27" s="85"/>
      <c r="Y27" s="207"/>
      <c r="Z27" s="217" t="s">
        <v>184</v>
      </c>
      <c r="AA27" s="218"/>
      <c r="AB27" s="232"/>
      <c r="AC27" s="85"/>
      <c r="AD27" s="85"/>
      <c r="AE27" s="85"/>
      <c r="AF27" s="233"/>
      <c r="AG27" s="87"/>
      <c r="AH27" s="68"/>
      <c r="AI27" s="165"/>
      <c r="AJ27" s="85"/>
      <c r="AK27" s="85"/>
      <c r="AL27" s="207"/>
      <c r="AM27" s="171" t="s">
        <v>162</v>
      </c>
      <c r="AN27" s="207"/>
      <c r="AO27" s="171" t="s">
        <v>162</v>
      </c>
      <c r="AP27" s="207"/>
      <c r="AQ27" s="171" t="s">
        <v>162</v>
      </c>
      <c r="AR27" s="207"/>
      <c r="AS27" s="171" t="s">
        <v>162</v>
      </c>
      <c r="AT27" s="207"/>
      <c r="AU27" s="228"/>
    </row>
    <row r="28" ht="15.75" customHeight="1">
      <c r="A28" s="68"/>
      <c r="B28" s="175" t="s">
        <v>183</v>
      </c>
      <c r="C28" s="185"/>
      <c r="D28" s="98"/>
      <c r="E28" s="98"/>
      <c r="F28" s="99"/>
      <c r="G28" s="144"/>
      <c r="H28" s="99"/>
      <c r="I28" s="144"/>
      <c r="J28" s="99"/>
      <c r="K28" s="144"/>
      <c r="L28" s="99"/>
      <c r="M28" s="101"/>
      <c r="N28" s="101"/>
      <c r="O28" s="211"/>
      <c r="P28" s="234"/>
      <c r="Q28" s="223" t="s">
        <v>185</v>
      </c>
      <c r="R28" s="39"/>
      <c r="S28" s="224"/>
      <c r="T28" s="68"/>
      <c r="U28" s="203"/>
      <c r="V28" s="235" t="s">
        <v>164</v>
      </c>
      <c r="W28" s="207"/>
      <c r="X28" s="85"/>
      <c r="Y28" s="171" t="s">
        <v>163</v>
      </c>
      <c r="Z28" s="236"/>
      <c r="AA28" s="85"/>
      <c r="AB28" s="232"/>
      <c r="AC28" s="207"/>
      <c r="AD28" s="85"/>
      <c r="AE28" s="207"/>
      <c r="AF28" s="233"/>
      <c r="AG28" s="87"/>
      <c r="AH28" s="68"/>
      <c r="AI28" s="165"/>
      <c r="AJ28" s="85"/>
      <c r="AK28" s="85"/>
      <c r="AL28" s="171"/>
      <c r="AM28" s="171"/>
      <c r="AN28" s="171"/>
      <c r="AO28" s="171"/>
      <c r="AP28" s="171"/>
      <c r="AQ28" s="171"/>
      <c r="AR28" s="171"/>
      <c r="AS28" s="171"/>
      <c r="AT28" s="171"/>
      <c r="AU28" s="228"/>
    </row>
    <row r="29" ht="15.75" customHeight="1">
      <c r="A29" s="68"/>
      <c r="B29" s="117"/>
      <c r="C29" s="172"/>
      <c r="D29" s="118"/>
      <c r="E29" s="118"/>
      <c r="F29" s="119"/>
      <c r="G29" s="117"/>
      <c r="H29" s="119"/>
      <c r="I29" s="117"/>
      <c r="J29" s="119"/>
      <c r="K29" s="117"/>
      <c r="L29" s="119"/>
      <c r="M29" s="120"/>
      <c r="N29" s="120"/>
      <c r="O29" s="173"/>
      <c r="P29" s="237"/>
      <c r="Q29" s="223" t="s">
        <v>186</v>
      </c>
      <c r="R29" s="39"/>
      <c r="S29" s="224"/>
      <c r="T29" s="68"/>
      <c r="U29" s="238" t="s">
        <v>187</v>
      </c>
      <c r="V29" s="39"/>
      <c r="W29" s="207"/>
      <c r="X29" s="85"/>
      <c r="Y29" s="207">
        <f>SUM(Y23,Y25,Y27,Y21)</f>
        <v>1</v>
      </c>
      <c r="Z29" s="217" t="s">
        <v>188</v>
      </c>
      <c r="AA29" s="218"/>
      <c r="AB29" s="232"/>
      <c r="AC29" s="84" t="s">
        <v>189</v>
      </c>
      <c r="AD29" s="84"/>
      <c r="AE29" s="84" t="s">
        <v>190</v>
      </c>
      <c r="AF29" s="233"/>
      <c r="AG29" s="87"/>
      <c r="AH29" s="68"/>
      <c r="AI29" s="165"/>
      <c r="AJ29" s="239" t="s">
        <v>191</v>
      </c>
      <c r="AK29" s="240" t="s">
        <v>163</v>
      </c>
      <c r="AL29" s="241">
        <f>AJ24-X7</f>
        <v>10</v>
      </c>
      <c r="AM29" s="171"/>
      <c r="AN29" s="239" t="s">
        <v>192</v>
      </c>
      <c r="AO29" s="240" t="s">
        <v>163</v>
      </c>
      <c r="AP29" s="241">
        <f>AJ24-AN25-AP25-AL27</f>
        <v>13</v>
      </c>
      <c r="AQ29" s="171"/>
      <c r="AR29" s="242" t="s">
        <v>193</v>
      </c>
      <c r="AS29" s="243" t="s">
        <v>163</v>
      </c>
      <c r="AT29" s="244">
        <f>Equip!Z13+Equip!AA5</f>
        <v>0</v>
      </c>
      <c r="AU29" s="228"/>
    </row>
    <row r="30" ht="17.25" customHeight="1">
      <c r="A30" s="68"/>
      <c r="B30" s="175" t="s">
        <v>164</v>
      </c>
      <c r="C30" s="185"/>
      <c r="D30" s="98"/>
      <c r="E30" s="98"/>
      <c r="F30" s="99"/>
      <c r="G30" s="144"/>
      <c r="H30" s="99"/>
      <c r="I30" s="144"/>
      <c r="J30" s="99"/>
      <c r="K30" s="144"/>
      <c r="L30" s="99"/>
      <c r="M30" s="101"/>
      <c r="N30" s="101"/>
      <c r="O30" s="245"/>
      <c r="P30" s="237"/>
      <c r="Q30" s="246"/>
      <c r="R30" s="39"/>
      <c r="S30" s="224"/>
      <c r="T30" s="68"/>
      <c r="U30" s="247" t="s">
        <v>194</v>
      </c>
      <c r="V30" s="39"/>
      <c r="W30" s="207"/>
      <c r="X30" s="85"/>
      <c r="Y30" s="85"/>
      <c r="Z30" s="85"/>
      <c r="AA30" s="85"/>
      <c r="AB30" s="248"/>
      <c r="AC30" s="162"/>
      <c r="AD30" s="162"/>
      <c r="AE30" s="162"/>
      <c r="AF30" s="249"/>
      <c r="AG30" s="87"/>
      <c r="AH30" s="68"/>
      <c r="AI30" s="165"/>
      <c r="AJ30" s="120"/>
      <c r="AK30" s="152"/>
      <c r="AL30" s="120"/>
      <c r="AM30" s="171"/>
      <c r="AN30" s="120"/>
      <c r="AO30" s="152"/>
      <c r="AP30" s="120"/>
      <c r="AQ30" s="171"/>
      <c r="AR30" s="120"/>
      <c r="AS30" s="250"/>
      <c r="AT30" s="120"/>
      <c r="AU30" s="228"/>
    </row>
    <row r="31" ht="15.75" customHeight="1">
      <c r="A31" s="68"/>
      <c r="B31" s="117"/>
      <c r="C31" s="53"/>
      <c r="D31" s="54"/>
      <c r="E31" s="54"/>
      <c r="F31" s="94"/>
      <c r="G31" s="96"/>
      <c r="H31" s="94"/>
      <c r="I31" s="96"/>
      <c r="J31" s="94"/>
      <c r="K31" s="96"/>
      <c r="L31" s="94"/>
      <c r="M31" s="95"/>
      <c r="N31" s="95"/>
      <c r="O31" s="251"/>
      <c r="P31" s="252"/>
      <c r="Q31" s="253"/>
      <c r="R31" s="50"/>
      <c r="S31" s="254"/>
      <c r="T31" s="68"/>
      <c r="U31" s="255" t="s">
        <v>195</v>
      </c>
      <c r="V31" s="50"/>
      <c r="W31" s="256"/>
      <c r="X31" s="194"/>
      <c r="Y31" s="194"/>
      <c r="Z31" s="194"/>
      <c r="AA31" s="194"/>
      <c r="AB31" s="194"/>
      <c r="AC31" s="194"/>
      <c r="AD31" s="194"/>
      <c r="AE31" s="194"/>
      <c r="AF31" s="194"/>
      <c r="AG31" s="195"/>
      <c r="AH31" s="68"/>
      <c r="AI31" s="165"/>
      <c r="AJ31" s="85"/>
      <c r="AK31" s="85"/>
      <c r="AL31" s="171"/>
      <c r="AM31" s="171"/>
      <c r="AN31" s="171"/>
      <c r="AO31" s="171"/>
      <c r="AP31" s="171"/>
      <c r="AQ31" s="171"/>
      <c r="AR31" s="171"/>
      <c r="AS31" s="171"/>
      <c r="AT31" s="171"/>
      <c r="AU31" s="22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257"/>
      <c r="V32" s="25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259" t="s">
        <v>196</v>
      </c>
      <c r="AJ32" s="260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4"/>
    </row>
    <row r="33" ht="15.75" customHeight="1">
      <c r="A33" s="68"/>
      <c r="B33" s="68"/>
      <c r="C33" s="70" t="s">
        <v>197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68"/>
      <c r="Q33" s="68"/>
      <c r="R33" s="69" t="s">
        <v>198</v>
      </c>
      <c r="S33" s="4"/>
      <c r="T33" s="4"/>
      <c r="U33" s="4"/>
      <c r="V33" s="4"/>
      <c r="W33" s="4"/>
      <c r="X33" s="261" t="s">
        <v>199</v>
      </c>
      <c r="Y33" s="13"/>
      <c r="Z33" s="13"/>
      <c r="AA33" s="13"/>
      <c r="AB33" s="13"/>
      <c r="AC33" s="13"/>
      <c r="AD33" s="13"/>
      <c r="AE33" s="13"/>
      <c r="AF33" s="14"/>
      <c r="AG33" s="68"/>
      <c r="AH33" s="68"/>
      <c r="AI33" s="193" t="s">
        <v>200</v>
      </c>
      <c r="AJ33" s="262" t="s">
        <v>201</v>
      </c>
      <c r="AK33" s="194"/>
      <c r="AL33" s="263"/>
      <c r="AM33" s="263"/>
      <c r="AN33" s="263"/>
      <c r="AO33" s="263"/>
      <c r="AP33" s="263"/>
      <c r="AQ33" s="263"/>
      <c r="AR33" s="263"/>
      <c r="AS33" s="263"/>
      <c r="AT33" s="263"/>
      <c r="AU33" s="264"/>
    </row>
    <row r="34" ht="6.75" customHeight="1">
      <c r="A34" s="68"/>
      <c r="B34" s="68"/>
      <c r="C34" s="219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65"/>
      <c r="O34" s="221"/>
      <c r="P34" s="68"/>
      <c r="Q34" s="68"/>
      <c r="R34" s="266" t="s">
        <v>202</v>
      </c>
      <c r="S34" s="99"/>
      <c r="T34" s="267"/>
      <c r="U34" s="98"/>
      <c r="V34" s="98"/>
      <c r="W34" s="99"/>
      <c r="X34" s="268"/>
      <c r="Y34" s="17"/>
      <c r="Z34" s="17"/>
      <c r="AA34" s="17"/>
      <c r="AB34" s="17"/>
      <c r="AC34" s="17"/>
      <c r="AD34" s="17"/>
      <c r="AE34" s="17"/>
      <c r="AF34" s="1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</row>
    <row r="35" ht="15.75" customHeight="1">
      <c r="A35" s="68"/>
      <c r="B35" s="68"/>
      <c r="C35" s="165"/>
      <c r="D35" s="85"/>
      <c r="E35" s="171" t="s">
        <v>203</v>
      </c>
      <c r="F35" s="171"/>
      <c r="G35" s="171" t="s">
        <v>204</v>
      </c>
      <c r="H35" s="171"/>
      <c r="I35" s="171" t="s">
        <v>205</v>
      </c>
      <c r="J35" s="171"/>
      <c r="K35" s="171" t="s">
        <v>154</v>
      </c>
      <c r="L35" s="171"/>
      <c r="M35" s="171" t="s">
        <v>155</v>
      </c>
      <c r="N35" s="269"/>
      <c r="O35" s="87"/>
      <c r="P35" s="68"/>
      <c r="Q35" s="68"/>
      <c r="R35" s="172"/>
      <c r="S35" s="119"/>
      <c r="T35" s="117"/>
      <c r="U35" s="118"/>
      <c r="V35" s="118"/>
      <c r="W35" s="119"/>
      <c r="X35" s="270"/>
      <c r="AF35" s="35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</row>
    <row r="36" ht="15.75" customHeight="1">
      <c r="A36" s="68"/>
      <c r="B36" s="68"/>
      <c r="C36" s="165"/>
      <c r="D36" s="85" t="s">
        <v>206</v>
      </c>
      <c r="E36" s="207">
        <f>SUM(G36,I36,K36,M36)-AR7</f>
        <v>1</v>
      </c>
      <c r="F36" s="171" t="s">
        <v>163</v>
      </c>
      <c r="G36" s="205">
        <v>0.0</v>
      </c>
      <c r="H36" s="171" t="s">
        <v>162</v>
      </c>
      <c r="I36" s="207">
        <f>X9</f>
        <v>1</v>
      </c>
      <c r="J36" s="171" t="s">
        <v>162</v>
      </c>
      <c r="K36" s="207"/>
      <c r="L36" s="171" t="s">
        <v>162</v>
      </c>
      <c r="M36" s="207"/>
      <c r="N36" s="271"/>
      <c r="O36" s="87"/>
      <c r="P36" s="68"/>
      <c r="Q36" s="68"/>
      <c r="R36" s="272" t="s">
        <v>207</v>
      </c>
      <c r="S36" s="99"/>
      <c r="T36" s="273">
        <f>80-15-5-1-2-1-8-1-1-1-1-32</f>
        <v>12</v>
      </c>
      <c r="U36" s="98"/>
      <c r="V36" s="98"/>
      <c r="W36" s="99"/>
      <c r="X36" s="270"/>
      <c r="AF36" s="35"/>
      <c r="AG36" s="68"/>
      <c r="AH36" s="68"/>
      <c r="AI36" s="69" t="s">
        <v>208</v>
      </c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5"/>
    </row>
    <row r="37" ht="9.0" customHeight="1">
      <c r="A37" s="68"/>
      <c r="B37" s="68"/>
      <c r="C37" s="165"/>
      <c r="D37" s="85"/>
      <c r="E37" s="171"/>
      <c r="F37" s="171"/>
      <c r="G37" s="274"/>
      <c r="H37" s="171"/>
      <c r="I37" s="171"/>
      <c r="J37" s="171"/>
      <c r="K37" s="171"/>
      <c r="L37" s="171"/>
      <c r="M37" s="171"/>
      <c r="N37" s="269"/>
      <c r="O37" s="87"/>
      <c r="P37" s="68"/>
      <c r="Q37" s="68"/>
      <c r="R37" s="172"/>
      <c r="S37" s="119"/>
      <c r="T37" s="117"/>
      <c r="U37" s="118"/>
      <c r="V37" s="118"/>
      <c r="W37" s="119"/>
      <c r="X37" s="270"/>
      <c r="AF37" s="35"/>
      <c r="AG37" s="68"/>
      <c r="AH37" s="68"/>
      <c r="AI37" s="16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7"/>
    </row>
    <row r="38" ht="15.75" customHeight="1">
      <c r="A38" s="68"/>
      <c r="B38" s="68"/>
      <c r="C38" s="165"/>
      <c r="D38" s="85" t="s">
        <v>209</v>
      </c>
      <c r="E38" s="207">
        <f>SUM(G38,I38,K38,M38)-AR7</f>
        <v>3</v>
      </c>
      <c r="F38" s="171" t="s">
        <v>163</v>
      </c>
      <c r="G38" s="205">
        <v>0.0</v>
      </c>
      <c r="H38" s="171" t="s">
        <v>162</v>
      </c>
      <c r="I38" s="207">
        <f>X7</f>
        <v>3</v>
      </c>
      <c r="J38" s="171" t="s">
        <v>162</v>
      </c>
      <c r="K38" s="207"/>
      <c r="L38" s="171" t="s">
        <v>162</v>
      </c>
      <c r="M38" s="207"/>
      <c r="N38" s="271"/>
      <c r="O38" s="87"/>
      <c r="P38" s="68"/>
      <c r="Q38" s="68"/>
      <c r="R38" s="272" t="s">
        <v>210</v>
      </c>
      <c r="S38" s="99"/>
      <c r="T38" s="267">
        <f>9-1-1-1</f>
        <v>6</v>
      </c>
      <c r="U38" s="98"/>
      <c r="V38" s="98"/>
      <c r="W38" s="99"/>
      <c r="X38" s="270"/>
      <c r="AF38" s="35"/>
      <c r="AG38" s="68"/>
      <c r="AH38" s="68"/>
      <c r="AI38" s="165"/>
      <c r="AJ38" s="275" t="s">
        <v>211</v>
      </c>
      <c r="AK38" s="218"/>
      <c r="AL38" s="218"/>
      <c r="AM38" s="276">
        <v>9.0</v>
      </c>
      <c r="AN38" s="30"/>
      <c r="AO38" s="85"/>
      <c r="AP38" s="85"/>
      <c r="AQ38" s="275" t="s">
        <v>212</v>
      </c>
      <c r="AR38" s="218"/>
      <c r="AS38" s="276">
        <v>0.0</v>
      </c>
      <c r="AT38" s="30"/>
      <c r="AU38" s="87"/>
    </row>
    <row r="39" ht="7.5" customHeight="1">
      <c r="A39" s="68"/>
      <c r="B39" s="68"/>
      <c r="C39" s="165"/>
      <c r="D39" s="85"/>
      <c r="E39" s="171"/>
      <c r="F39" s="171"/>
      <c r="G39" s="171"/>
      <c r="H39" s="171"/>
      <c r="I39" s="171"/>
      <c r="J39" s="171"/>
      <c r="K39" s="171"/>
      <c r="L39" s="171"/>
      <c r="M39" s="171"/>
      <c r="N39" s="269"/>
      <c r="O39" s="87"/>
      <c r="P39" s="68"/>
      <c r="Q39" s="68"/>
      <c r="R39" s="172"/>
      <c r="S39" s="119"/>
      <c r="T39" s="117"/>
      <c r="U39" s="118"/>
      <c r="V39" s="118"/>
      <c r="W39" s="119"/>
      <c r="X39" s="270"/>
      <c r="AF39" s="35"/>
      <c r="AG39" s="68"/>
      <c r="AH39" s="68"/>
      <c r="AI39" s="16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7"/>
    </row>
    <row r="40" ht="15.75" customHeight="1">
      <c r="A40" s="68"/>
      <c r="B40" s="68"/>
      <c r="C40" s="165"/>
      <c r="D40" s="85" t="s">
        <v>213</v>
      </c>
      <c r="E40" s="207">
        <f>SUM(G40,I40,K40,M40)-AR7</f>
        <v>4</v>
      </c>
      <c r="F40" s="171" t="s">
        <v>163</v>
      </c>
      <c r="G40" s="205">
        <v>2.0</v>
      </c>
      <c r="H40" s="171" t="s">
        <v>162</v>
      </c>
      <c r="I40" s="207">
        <f>X13</f>
        <v>2</v>
      </c>
      <c r="J40" s="171" t="s">
        <v>162</v>
      </c>
      <c r="K40" s="207"/>
      <c r="L40" s="171" t="s">
        <v>162</v>
      </c>
      <c r="M40" s="207"/>
      <c r="N40" s="271"/>
      <c r="O40" s="87"/>
      <c r="P40" s="68"/>
      <c r="Q40" s="68"/>
      <c r="R40" s="277" t="s">
        <v>214</v>
      </c>
      <c r="S40" s="39"/>
      <c r="T40" s="278">
        <f>9</f>
        <v>9</v>
      </c>
      <c r="U40" s="38"/>
      <c r="V40" s="38"/>
      <c r="W40" s="39"/>
      <c r="X40" s="270"/>
      <c r="AF40" s="35"/>
      <c r="AG40" s="68"/>
      <c r="AH40" s="68"/>
      <c r="AI40" s="165"/>
      <c r="AJ40" s="279" t="s">
        <v>215</v>
      </c>
      <c r="AK40" s="218"/>
      <c r="AL40" s="218"/>
      <c r="AM40" s="163"/>
      <c r="AN40" s="30"/>
      <c r="AO40" s="30"/>
      <c r="AP40" s="30"/>
      <c r="AQ40" s="30"/>
      <c r="AR40" s="30"/>
      <c r="AS40" s="30"/>
      <c r="AT40" s="30"/>
      <c r="AU40" s="87"/>
    </row>
    <row r="41" ht="15.75" customHeight="1">
      <c r="A41" s="68"/>
      <c r="B41" s="68"/>
      <c r="C41" s="193"/>
      <c r="D41" s="194"/>
      <c r="E41" s="263"/>
      <c r="F41" s="263"/>
      <c r="G41" s="263"/>
      <c r="H41" s="263"/>
      <c r="I41" s="263"/>
      <c r="J41" s="263"/>
      <c r="K41" s="263"/>
      <c r="L41" s="263"/>
      <c r="M41" s="263"/>
      <c r="N41" s="280"/>
      <c r="O41" s="195"/>
      <c r="P41" s="68"/>
      <c r="Q41" s="68"/>
      <c r="R41" s="281" t="s">
        <v>216</v>
      </c>
      <c r="S41" s="134"/>
      <c r="T41" s="134"/>
      <c r="U41" s="134"/>
      <c r="V41" s="134"/>
      <c r="W41" s="139"/>
      <c r="X41" s="270"/>
      <c r="AF41" s="35"/>
      <c r="AG41" s="68"/>
      <c r="AH41" s="68"/>
      <c r="AI41" s="16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7"/>
    </row>
    <row r="42" ht="16.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282" t="s">
        <v>217</v>
      </c>
      <c r="S42" s="39"/>
      <c r="T42" s="283" t="s">
        <v>218</v>
      </c>
      <c r="U42" s="39"/>
      <c r="V42" s="283" t="s">
        <v>219</v>
      </c>
      <c r="W42" s="39"/>
      <c r="X42" s="270"/>
      <c r="AF42" s="35"/>
      <c r="AG42" s="68"/>
      <c r="AH42" s="68"/>
      <c r="AI42" s="165"/>
      <c r="AJ42" s="284" t="s">
        <v>220</v>
      </c>
      <c r="AK42" s="215"/>
      <c r="AL42" s="285"/>
      <c r="AM42" s="286" t="s">
        <v>221</v>
      </c>
      <c r="AN42" s="285"/>
      <c r="AO42" s="286" t="s">
        <v>222</v>
      </c>
      <c r="AP42" s="285"/>
      <c r="AQ42" s="287" t="s">
        <v>223</v>
      </c>
      <c r="AR42" s="285"/>
      <c r="AS42" s="286" t="s">
        <v>224</v>
      </c>
      <c r="AT42" s="288"/>
      <c r="AU42" s="87"/>
    </row>
    <row r="43" ht="18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289"/>
      <c r="S43" s="39"/>
      <c r="T43" s="290"/>
      <c r="U43" s="39"/>
      <c r="V43" s="290"/>
      <c r="W43" s="39"/>
      <c r="X43" s="270"/>
      <c r="AF43" s="35"/>
      <c r="AG43" s="68"/>
      <c r="AH43" s="68"/>
      <c r="AI43" s="165"/>
      <c r="AJ43" s="291" t="s">
        <v>225</v>
      </c>
      <c r="AK43" s="38"/>
      <c r="AL43" s="39"/>
      <c r="AM43" s="292" t="str">
        <f>IF(AS50="x",IF(AO50="x",AM40+AL48,AM40)&amp;" m",IF(AS49="x",IF(AO49="x",AS38+AL48,AS38)&amp;" m",IF(AO48="x",AM38+AL48,AM38)&amp;" m"))</f>
        <v>9 m</v>
      </c>
      <c r="AN43" s="39"/>
      <c r="AO43" s="292" t="str">
        <f>IF(AS50="x",IF(AO50="x",(AM40+AL48)*10&amp;" m",AM40*10&amp;" m"),
IF(AS49="x",IF(AO49="x",(AS38+AL48)*10&amp;" m",AS38*10&amp;" m"),
IF(AO48="x",(AM38+AL48)*10&amp;" m",AM38*10&amp;" m")))</f>
        <v>90 m</v>
      </c>
      <c r="AP43" s="39"/>
      <c r="AQ43" s="293" t="str">
        <f>IF(AS50="x",IF(AO50="x",(AM40+AL48)/2&amp;" km",AM40/2&amp;" km"),
IF(AS49="x",IF(AO49="x",(AS38+AL48)/2&amp;" km",AS38/2&amp;" km"),
IF(AO48="x",(AM38+AL48)/2&amp;" km",AM38/2&amp;" km")))</f>
        <v>4,5 km</v>
      </c>
      <c r="AR43" s="39"/>
      <c r="AS43" s="293" t="str">
        <f>IF(AS50="x",IF(AO50="x",(AM40+AL48)*4&amp;" km",AM40*4&amp;" km"),
IF(AS49="x",IF(AO49="x",(AS38+AL48)*4&amp;" km",AS38*4&amp;" km"),
IF(AO48="x",(AM38+AL48)/2&amp;" m",AM38*4&amp;" km")))</f>
        <v>36 km</v>
      </c>
      <c r="AT43" s="75"/>
      <c r="AU43" s="87"/>
    </row>
    <row r="44" ht="18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289"/>
      <c r="S44" s="39"/>
      <c r="T44" s="290"/>
      <c r="U44" s="39"/>
      <c r="V44" s="290"/>
      <c r="W44" s="39"/>
      <c r="X44" s="270"/>
      <c r="AF44" s="35"/>
      <c r="AG44" s="68"/>
      <c r="AH44" s="68"/>
      <c r="AI44" s="165"/>
      <c r="AJ44" s="291" t="s">
        <v>226</v>
      </c>
      <c r="AK44" s="38"/>
      <c r="AL44" s="39"/>
      <c r="AM44" s="292" t="str">
        <f>IF(AS50="x",IF(AO50="x",(AM40+AL48)*2,AM40*2)&amp;" m",IF(AS49="x",IF(AO49="x",(AS38+AL48)*2,AS38*2)&amp;" m",IF(AO48="x",(AM38+AL48)*2,AM38*2)&amp;" m"))</f>
        <v>18 m</v>
      </c>
      <c r="AN44" s="39"/>
      <c r="AO44" s="292" t="str">
        <f>IF(AS50="x",IF(AO50="x",(AM40+AL48)*10*2&amp;" m",AM40*10*2&amp;" m"),
IF(AS49="x",IF(AO49="x",(AS38+AL48)*10*2&amp;" m",AS38*10*2&amp;" m"),
IF(AO48="x",(AM38+AL48)*10*2&amp;" m",AM38*10*2&amp;" m")))</f>
        <v>180 m</v>
      </c>
      <c r="AP44" s="39"/>
      <c r="AQ44" s="293" t="str">
        <f>IF(AS50="x",IF(AO50="x",(AM40+AL48)&amp;" km",AM40&amp;" km"),
IF(AS49="x",IF(AO49="x",(AS38+AL48)&amp;" km",AS38&amp;" km"),
IF(AO48="x",(AM38+AL48)&amp;" km",AM38&amp;" km")))</f>
        <v>9 km</v>
      </c>
      <c r="AR44" s="39"/>
      <c r="AS44" s="293" t="s">
        <v>58</v>
      </c>
      <c r="AT44" s="75"/>
      <c r="AU44" s="87"/>
    </row>
    <row r="45" ht="18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289"/>
      <c r="S45" s="39"/>
      <c r="T45" s="290"/>
      <c r="U45" s="39"/>
      <c r="V45" s="290"/>
      <c r="W45" s="39"/>
      <c r="X45" s="270"/>
      <c r="AF45" s="35"/>
      <c r="AG45" s="68"/>
      <c r="AH45" s="68"/>
      <c r="AI45" s="165"/>
      <c r="AJ45" s="291" t="s">
        <v>227</v>
      </c>
      <c r="AK45" s="38"/>
      <c r="AL45" s="39"/>
      <c r="AM45" s="292" t="str">
        <f>IF(AS50="x",IF(AO50="x",(AM40+AL48)*3,AM40*3)&amp;" m",IF(AS49="x",IF(AO49="x",(AS38+AL48)*3,AS38*3)&amp;" m",IF(AO48="x",(AM38+AL48)*3,AM38*3)&amp;" m"))</f>
        <v>27 m</v>
      </c>
      <c r="AN45" s="39"/>
      <c r="AO45" s="292" t="str">
        <f>IF(AS50="x",IF(AO50="x",(AM40+AL48)*10*3&amp;" m",AM40*10*3&amp;" m"),
IF(AS49="x",IF(AO49="x",(AS38+AL48)*10*3&amp;" m",AS38*10*3&amp;" m"),
IF(AO48="x",(AM38+AL48)*10*3&amp;" m",AM38*10*3&amp;" m")))</f>
        <v>270 m</v>
      </c>
      <c r="AP45" s="39"/>
      <c r="AQ45" s="293" t="s">
        <v>58</v>
      </c>
      <c r="AR45" s="39"/>
      <c r="AS45" s="293" t="s">
        <v>58</v>
      </c>
      <c r="AT45" s="75"/>
      <c r="AU45" s="87"/>
    </row>
    <row r="46" ht="18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294"/>
      <c r="S46" s="50"/>
      <c r="T46" s="295"/>
      <c r="U46" s="50"/>
      <c r="V46" s="295"/>
      <c r="W46" s="50"/>
      <c r="X46" s="209"/>
      <c r="Y46" s="54"/>
      <c r="Z46" s="54"/>
      <c r="AA46" s="54"/>
      <c r="AB46" s="54"/>
      <c r="AC46" s="54"/>
      <c r="AD46" s="54"/>
      <c r="AE46" s="54"/>
      <c r="AF46" s="55"/>
      <c r="AG46" s="68"/>
      <c r="AH46" s="68"/>
      <c r="AI46" s="165"/>
      <c r="AJ46" s="296" t="s">
        <v>228</v>
      </c>
      <c r="AK46" s="49"/>
      <c r="AL46" s="50"/>
      <c r="AM46" s="297" t="str">
        <f>IF(AS50="x",IF(AO50="x",(AM40+AL48)*4,AM40*4)&amp;" m",IF(AS49="x",IF(AO49="x",(AS38+AL48)*4,AS38*4)&amp;" m",IF(AO48="x",(AM38+AL48)*4,AM38*4)&amp;" m"))</f>
        <v>36 m</v>
      </c>
      <c r="AN46" s="50"/>
      <c r="AO46" s="297" t="str">
        <f>IF(AS50="x",IF(AO50="x",(AM40+AL48)*10*4&amp;" m",AM40*10*4&amp;" m"),
IF(AS49="x",IF(AO49="x",(AS38+AL48)*10*4&amp;" m",AS38*10*4&amp;" m"),
IF(AO48="x",(AM38+AL48)*10*4&amp;" m",AM38*10*4&amp;" m")))</f>
        <v>360 m</v>
      </c>
      <c r="AP46" s="50"/>
      <c r="AQ46" s="298" t="s">
        <v>58</v>
      </c>
      <c r="AR46" s="50"/>
      <c r="AS46" s="298" t="s">
        <v>58</v>
      </c>
      <c r="AT46" s="299"/>
      <c r="AU46" s="87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16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7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165"/>
      <c r="AJ48" s="279" t="s">
        <v>229</v>
      </c>
      <c r="AK48" s="218"/>
      <c r="AL48" s="162"/>
      <c r="AM48" s="85"/>
      <c r="AN48" s="300" t="s">
        <v>230</v>
      </c>
      <c r="AO48" s="207"/>
      <c r="AP48" s="301" t="s">
        <v>231</v>
      </c>
      <c r="AQ48" s="115"/>
      <c r="AR48" s="300" t="s">
        <v>230</v>
      </c>
      <c r="AS48" s="205" t="s">
        <v>28</v>
      </c>
      <c r="AT48" s="85"/>
      <c r="AU48" s="87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165"/>
      <c r="AJ49" s="85"/>
      <c r="AK49" s="85"/>
      <c r="AL49" s="85"/>
      <c r="AM49" s="85"/>
      <c r="AN49" s="300" t="s">
        <v>232</v>
      </c>
      <c r="AO49" s="302"/>
      <c r="AP49" s="270"/>
      <c r="AR49" s="300" t="s">
        <v>232</v>
      </c>
      <c r="AS49" s="302"/>
      <c r="AT49" s="85"/>
      <c r="AU49" s="87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165"/>
      <c r="AJ50" s="301" t="s">
        <v>233</v>
      </c>
      <c r="AK50" s="115"/>
      <c r="AL50" s="115"/>
      <c r="AM50" s="115"/>
      <c r="AN50" s="300" t="s">
        <v>155</v>
      </c>
      <c r="AO50" s="302"/>
      <c r="AP50" s="85"/>
      <c r="AQ50" s="85"/>
      <c r="AR50" s="300" t="s">
        <v>155</v>
      </c>
      <c r="AS50" s="302"/>
      <c r="AT50" s="85"/>
      <c r="AU50" s="87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193"/>
      <c r="AJ51" s="209"/>
      <c r="AK51" s="54"/>
      <c r="AL51" s="54"/>
      <c r="AM51" s="54"/>
      <c r="AN51" s="194"/>
      <c r="AO51" s="194"/>
      <c r="AP51" s="194"/>
      <c r="AQ51" s="194"/>
      <c r="AR51" s="194"/>
      <c r="AS51" s="194"/>
      <c r="AT51" s="194"/>
      <c r="AU51" s="195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</row>
  </sheetData>
  <mergeCells count="265">
    <mergeCell ref="Q27:R27"/>
    <mergeCell ref="Q28:R28"/>
    <mergeCell ref="Q29:R29"/>
    <mergeCell ref="Z29:AA29"/>
    <mergeCell ref="T42:U42"/>
    <mergeCell ref="V42:W42"/>
    <mergeCell ref="R43:S43"/>
    <mergeCell ref="T43:U43"/>
    <mergeCell ref="V43:W43"/>
    <mergeCell ref="R44:S44"/>
    <mergeCell ref="T44:U44"/>
    <mergeCell ref="V44:W44"/>
    <mergeCell ref="R45:S45"/>
    <mergeCell ref="T45:U45"/>
    <mergeCell ref="V45:W45"/>
    <mergeCell ref="R46:S46"/>
    <mergeCell ref="T46:U46"/>
    <mergeCell ref="V46:W46"/>
    <mergeCell ref="Q25:R25"/>
    <mergeCell ref="Q26:R26"/>
    <mergeCell ref="R34:S35"/>
    <mergeCell ref="T34:W35"/>
    <mergeCell ref="X34:AF46"/>
    <mergeCell ref="R36:S37"/>
    <mergeCell ref="T36:W37"/>
    <mergeCell ref="AO44:AP44"/>
    <mergeCell ref="AQ44:AR44"/>
    <mergeCell ref="AJ46:AL46"/>
    <mergeCell ref="AM46:AN46"/>
    <mergeCell ref="AO46:AP46"/>
    <mergeCell ref="AQ46:AR46"/>
    <mergeCell ref="AS46:AT46"/>
    <mergeCell ref="AJ48:AK48"/>
    <mergeCell ref="AP48:AQ49"/>
    <mergeCell ref="AJ50:AM51"/>
    <mergeCell ref="AJ43:AL43"/>
    <mergeCell ref="AM43:AN43"/>
    <mergeCell ref="AO43:AP43"/>
    <mergeCell ref="AQ43:AR43"/>
    <mergeCell ref="AS43:AT43"/>
    <mergeCell ref="AM44:AN44"/>
    <mergeCell ref="AS44:AT44"/>
    <mergeCell ref="B26:B27"/>
    <mergeCell ref="B28:B29"/>
    <mergeCell ref="C28:F29"/>
    <mergeCell ref="G28:H29"/>
    <mergeCell ref="I28:J29"/>
    <mergeCell ref="K28:L29"/>
    <mergeCell ref="M28:M29"/>
    <mergeCell ref="Q30:R30"/>
    <mergeCell ref="U30:V30"/>
    <mergeCell ref="Q31:R31"/>
    <mergeCell ref="U31:V31"/>
    <mergeCell ref="R33:W33"/>
    <mergeCell ref="X33:AF33"/>
    <mergeCell ref="N28:N29"/>
    <mergeCell ref="O28:O29"/>
    <mergeCell ref="AJ29:AJ30"/>
    <mergeCell ref="AK29:AK30"/>
    <mergeCell ref="AL29:AL30"/>
    <mergeCell ref="AN29:AN30"/>
    <mergeCell ref="AO29:AO30"/>
    <mergeCell ref="C30:F31"/>
    <mergeCell ref="C33:O33"/>
    <mergeCell ref="B30:B31"/>
    <mergeCell ref="G30:H31"/>
    <mergeCell ref="I30:J31"/>
    <mergeCell ref="K30:L31"/>
    <mergeCell ref="M30:M31"/>
    <mergeCell ref="N30:N31"/>
    <mergeCell ref="O30:O31"/>
    <mergeCell ref="AP29:AP30"/>
    <mergeCell ref="AR29:AR30"/>
    <mergeCell ref="AS29:AS30"/>
    <mergeCell ref="AT29:AT30"/>
    <mergeCell ref="AJ32:AU32"/>
    <mergeCell ref="AI36:AU36"/>
    <mergeCell ref="AJ38:AL38"/>
    <mergeCell ref="AS38:AT38"/>
    <mergeCell ref="AJ44:AL44"/>
    <mergeCell ref="AJ45:AL45"/>
    <mergeCell ref="AM45:AN45"/>
    <mergeCell ref="AO45:AP45"/>
    <mergeCell ref="AQ45:AR45"/>
    <mergeCell ref="AS45:AT45"/>
    <mergeCell ref="Y3:AA4"/>
    <mergeCell ref="AB3:AG4"/>
    <mergeCell ref="AJ4:AL5"/>
    <mergeCell ref="AN4:AN5"/>
    <mergeCell ref="AP4:AP5"/>
    <mergeCell ref="AR4:AR5"/>
    <mergeCell ref="AT4:AT5"/>
    <mergeCell ref="C3:E3"/>
    <mergeCell ref="C4:E4"/>
    <mergeCell ref="C7:D7"/>
    <mergeCell ref="C8:D8"/>
    <mergeCell ref="C2:R2"/>
    <mergeCell ref="U2:AG2"/>
    <mergeCell ref="AI2:AU2"/>
    <mergeCell ref="G3:R3"/>
    <mergeCell ref="U3:W4"/>
    <mergeCell ref="X3:X4"/>
    <mergeCell ref="AJ3:AL3"/>
    <mergeCell ref="P4:R4"/>
    <mergeCell ref="X5:X6"/>
    <mergeCell ref="Y5:Y6"/>
    <mergeCell ref="Z5:AA6"/>
    <mergeCell ref="AB5:AG6"/>
    <mergeCell ref="P6:Q6"/>
    <mergeCell ref="AR7:AR8"/>
    <mergeCell ref="AT7:AT8"/>
    <mergeCell ref="AN10:AP10"/>
    <mergeCell ref="Y7:Y8"/>
    <mergeCell ref="Z7:AA8"/>
    <mergeCell ref="AB7:AG8"/>
    <mergeCell ref="AJ7:AJ8"/>
    <mergeCell ref="AL7:AM8"/>
    <mergeCell ref="AN7:AO8"/>
    <mergeCell ref="AP7:AP8"/>
    <mergeCell ref="E8:R8"/>
    <mergeCell ref="C9:R9"/>
    <mergeCell ref="G4:K4"/>
    <mergeCell ref="M4:O4"/>
    <mergeCell ref="D5:I5"/>
    <mergeCell ref="L5:M5"/>
    <mergeCell ref="P5:R5"/>
    <mergeCell ref="U5:U6"/>
    <mergeCell ref="V5:W6"/>
    <mergeCell ref="F6:G6"/>
    <mergeCell ref="J6:K6"/>
    <mergeCell ref="E7:K7"/>
    <mergeCell ref="O7:R7"/>
    <mergeCell ref="U7:U8"/>
    <mergeCell ref="V7:W8"/>
    <mergeCell ref="X7:X8"/>
    <mergeCell ref="U9:U10"/>
    <mergeCell ref="V9:W10"/>
    <mergeCell ref="X9:X10"/>
    <mergeCell ref="Y9:Y10"/>
    <mergeCell ref="Z9:AA10"/>
    <mergeCell ref="AB9:AG10"/>
    <mergeCell ref="C11:S11"/>
    <mergeCell ref="P12:P13"/>
    <mergeCell ref="Q12:S13"/>
    <mergeCell ref="U13:U14"/>
    <mergeCell ref="V13:W14"/>
    <mergeCell ref="X13:X14"/>
    <mergeCell ref="Y13:Y14"/>
    <mergeCell ref="Z13:AA14"/>
    <mergeCell ref="AL12:AL13"/>
    <mergeCell ref="AN12:AN13"/>
    <mergeCell ref="AP12:AP13"/>
    <mergeCell ref="AR12:AR13"/>
    <mergeCell ref="AT12:AT13"/>
    <mergeCell ref="U11:U12"/>
    <mergeCell ref="V11:W12"/>
    <mergeCell ref="X11:X12"/>
    <mergeCell ref="Y11:Y12"/>
    <mergeCell ref="Z11:AA12"/>
    <mergeCell ref="AB11:AG12"/>
    <mergeCell ref="AJ12:AJ13"/>
    <mergeCell ref="AB13:AG14"/>
    <mergeCell ref="C12:F13"/>
    <mergeCell ref="G12:H13"/>
    <mergeCell ref="I12:J13"/>
    <mergeCell ref="K12:L13"/>
    <mergeCell ref="M12:M13"/>
    <mergeCell ref="N12:N13"/>
    <mergeCell ref="O12:O13"/>
    <mergeCell ref="B18:B19"/>
    <mergeCell ref="C18:F19"/>
    <mergeCell ref="G18:H19"/>
    <mergeCell ref="I18:J19"/>
    <mergeCell ref="K18:L19"/>
    <mergeCell ref="M18:M19"/>
    <mergeCell ref="N18:N19"/>
    <mergeCell ref="B20:B21"/>
    <mergeCell ref="C20:F21"/>
    <mergeCell ref="G20:H21"/>
    <mergeCell ref="I20:J21"/>
    <mergeCell ref="K20:L21"/>
    <mergeCell ref="M20:M21"/>
    <mergeCell ref="N20:N21"/>
    <mergeCell ref="N24:N25"/>
    <mergeCell ref="Z25:AA25"/>
    <mergeCell ref="B24:B25"/>
    <mergeCell ref="C24:F25"/>
    <mergeCell ref="G24:H25"/>
    <mergeCell ref="I24:J25"/>
    <mergeCell ref="K24:L25"/>
    <mergeCell ref="M24:M25"/>
    <mergeCell ref="AJ24:AJ26"/>
    <mergeCell ref="AB26:AF26"/>
    <mergeCell ref="Z15:AA16"/>
    <mergeCell ref="AB15:AG16"/>
    <mergeCell ref="B14:B15"/>
    <mergeCell ref="C14:F15"/>
    <mergeCell ref="G14:H15"/>
    <mergeCell ref="I14:J15"/>
    <mergeCell ref="K14:L15"/>
    <mergeCell ref="M14:M15"/>
    <mergeCell ref="N14:N15"/>
    <mergeCell ref="O16:O17"/>
    <mergeCell ref="P16:P17"/>
    <mergeCell ref="Q16:S17"/>
    <mergeCell ref="U17:AA17"/>
    <mergeCell ref="B16:B17"/>
    <mergeCell ref="C16:F17"/>
    <mergeCell ref="G16:H17"/>
    <mergeCell ref="I16:J17"/>
    <mergeCell ref="K16:L17"/>
    <mergeCell ref="M16:M17"/>
    <mergeCell ref="N16:N17"/>
    <mergeCell ref="O18:O19"/>
    <mergeCell ref="P18:P19"/>
    <mergeCell ref="Q18:S19"/>
    <mergeCell ref="U18:AG18"/>
    <mergeCell ref="AK18:AU18"/>
    <mergeCell ref="B22:B23"/>
    <mergeCell ref="C22:F23"/>
    <mergeCell ref="G22:H23"/>
    <mergeCell ref="I22:J23"/>
    <mergeCell ref="K22:L23"/>
    <mergeCell ref="M22:M23"/>
    <mergeCell ref="N22:N23"/>
    <mergeCell ref="Z23:AA23"/>
    <mergeCell ref="C26:F27"/>
    <mergeCell ref="G26:H27"/>
    <mergeCell ref="I26:J27"/>
    <mergeCell ref="K26:L27"/>
    <mergeCell ref="M26:M27"/>
    <mergeCell ref="N26:N27"/>
    <mergeCell ref="Z27:AA27"/>
    <mergeCell ref="O14:O15"/>
    <mergeCell ref="O20:O21"/>
    <mergeCell ref="O22:O23"/>
    <mergeCell ref="O24:O25"/>
    <mergeCell ref="O26:O27"/>
    <mergeCell ref="P20:P21"/>
    <mergeCell ref="Q20:S21"/>
    <mergeCell ref="Q23:R23"/>
    <mergeCell ref="Q24:R24"/>
    <mergeCell ref="P14:P15"/>
    <mergeCell ref="Q14:S15"/>
    <mergeCell ref="U15:U16"/>
    <mergeCell ref="V15:W16"/>
    <mergeCell ref="X15:X16"/>
    <mergeCell ref="Y15:Y16"/>
    <mergeCell ref="U19:U28"/>
    <mergeCell ref="U29:V29"/>
    <mergeCell ref="R38:S39"/>
    <mergeCell ref="T38:W39"/>
    <mergeCell ref="R40:S40"/>
    <mergeCell ref="T40:W40"/>
    <mergeCell ref="R41:W41"/>
    <mergeCell ref="R42:S42"/>
    <mergeCell ref="AQ42:AR42"/>
    <mergeCell ref="AS42:AT42"/>
    <mergeCell ref="AM38:AN38"/>
    <mergeCell ref="AQ38:AR38"/>
    <mergeCell ref="AJ40:AL40"/>
    <mergeCell ref="AM40:AT40"/>
    <mergeCell ref="AJ42:AL42"/>
    <mergeCell ref="AM42:AN42"/>
    <mergeCell ref="AO42:AP4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13"/>
    <col customWidth="1" min="2" max="3" width="6.13"/>
    <col customWidth="1" min="4" max="4" width="8.25"/>
    <col customWidth="1" min="5" max="17" width="6.13"/>
    <col customWidth="1" min="18" max="18" width="2.63"/>
    <col customWidth="1" min="19" max="36" width="6.13"/>
  </cols>
  <sheetData>
    <row r="1" ht="6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8.0" customHeight="1">
      <c r="A2" s="1"/>
      <c r="B2" s="3" t="s">
        <v>234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"/>
      <c r="P2" s="1"/>
      <c r="Q2" s="1"/>
      <c r="R2" s="1"/>
      <c r="S2" s="303" t="s">
        <v>235</v>
      </c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</row>
    <row r="3" ht="18.0" customHeight="1">
      <c r="A3" s="1"/>
      <c r="B3" s="304" t="s">
        <v>236</v>
      </c>
      <c r="C3" s="77"/>
      <c r="D3" s="305" t="s">
        <v>237</v>
      </c>
      <c r="E3" s="306" t="s">
        <v>238</v>
      </c>
      <c r="F3" s="77"/>
      <c r="G3" s="305" t="s">
        <v>239</v>
      </c>
      <c r="H3" s="305" t="s">
        <v>240</v>
      </c>
      <c r="I3" s="305" t="s">
        <v>159</v>
      </c>
      <c r="J3" s="305" t="s">
        <v>241</v>
      </c>
      <c r="K3" s="306" t="s">
        <v>242</v>
      </c>
      <c r="L3" s="17"/>
      <c r="M3" s="17"/>
      <c r="N3" s="18"/>
      <c r="O3" s="1"/>
      <c r="P3" s="1"/>
      <c r="Q3" s="1"/>
      <c r="R3" s="1"/>
      <c r="S3" s="307" t="s">
        <v>243</v>
      </c>
      <c r="T3" s="109"/>
      <c r="U3" s="308" t="s">
        <v>241</v>
      </c>
      <c r="V3" s="309" t="s">
        <v>244</v>
      </c>
      <c r="W3" s="109"/>
      <c r="X3" s="308" t="s">
        <v>245</v>
      </c>
      <c r="Y3" s="306" t="s">
        <v>246</v>
      </c>
      <c r="Z3" s="77"/>
      <c r="AA3" s="306" t="s">
        <v>247</v>
      </c>
      <c r="AB3" s="77"/>
      <c r="AC3" s="305" t="s">
        <v>248</v>
      </c>
      <c r="AD3" s="305" t="s">
        <v>249</v>
      </c>
      <c r="AE3" s="306" t="s">
        <v>250</v>
      </c>
      <c r="AF3" s="77"/>
      <c r="AG3" s="306" t="s">
        <v>242</v>
      </c>
      <c r="AH3" s="17"/>
      <c r="AI3" s="17"/>
      <c r="AJ3" s="18"/>
    </row>
    <row r="4" ht="18.0" customHeight="1">
      <c r="A4" s="1"/>
      <c r="B4" s="53"/>
      <c r="C4" s="94"/>
      <c r="D4" s="95"/>
      <c r="E4" s="96"/>
      <c r="F4" s="94"/>
      <c r="G4" s="95"/>
      <c r="H4" s="95"/>
      <c r="I4" s="95"/>
      <c r="J4" s="95"/>
      <c r="K4" s="96"/>
      <c r="L4" s="54"/>
      <c r="M4" s="54"/>
      <c r="N4" s="55"/>
      <c r="O4" s="1"/>
      <c r="P4" s="1"/>
      <c r="Q4" s="1"/>
      <c r="R4" s="1"/>
      <c r="S4" s="53"/>
      <c r="T4" s="94"/>
      <c r="U4" s="95"/>
      <c r="V4" s="96"/>
      <c r="W4" s="94"/>
      <c r="X4" s="95"/>
      <c r="Y4" s="96"/>
      <c r="Z4" s="94"/>
      <c r="AA4" s="96"/>
      <c r="AB4" s="94"/>
      <c r="AC4" s="95"/>
      <c r="AD4" s="95"/>
      <c r="AE4" s="96"/>
      <c r="AF4" s="94"/>
      <c r="AG4" s="96"/>
      <c r="AH4" s="54"/>
      <c r="AI4" s="54"/>
      <c r="AJ4" s="55"/>
    </row>
    <row r="5" ht="18.0" customHeight="1">
      <c r="A5" s="1"/>
      <c r="B5" s="310" t="s">
        <v>251</v>
      </c>
      <c r="C5" s="109"/>
      <c r="D5" s="311"/>
      <c r="E5" s="112"/>
      <c r="F5" s="109"/>
      <c r="G5" s="312" t="s">
        <v>252</v>
      </c>
      <c r="H5" s="312" t="s">
        <v>253</v>
      </c>
      <c r="I5" s="311"/>
      <c r="J5" s="312" t="s">
        <v>254</v>
      </c>
      <c r="K5" s="313"/>
      <c r="L5" s="115"/>
      <c r="M5" s="115"/>
      <c r="N5" s="116"/>
      <c r="O5" s="1"/>
      <c r="P5" s="314" t="s">
        <v>255</v>
      </c>
      <c r="R5" s="314"/>
      <c r="S5" s="315"/>
      <c r="T5" s="109"/>
      <c r="U5" s="311"/>
      <c r="V5" s="112"/>
      <c r="W5" s="109"/>
      <c r="X5" s="311"/>
      <c r="Y5" s="316"/>
      <c r="Z5" s="77"/>
      <c r="AA5" s="317"/>
      <c r="AB5" s="109"/>
      <c r="AC5" s="311"/>
      <c r="AD5" s="311"/>
      <c r="AE5" s="112"/>
      <c r="AF5" s="109"/>
      <c r="AG5" s="313"/>
      <c r="AH5" s="115"/>
      <c r="AI5" s="115"/>
      <c r="AJ5" s="116"/>
    </row>
    <row r="6" ht="18.0" customHeight="1">
      <c r="A6" s="1"/>
      <c r="B6" s="172"/>
      <c r="C6" s="119"/>
      <c r="D6" s="120"/>
      <c r="E6" s="117"/>
      <c r="F6" s="119"/>
      <c r="G6" s="120"/>
      <c r="H6" s="120"/>
      <c r="I6" s="120"/>
      <c r="J6" s="120"/>
      <c r="K6" s="117"/>
      <c r="L6" s="118"/>
      <c r="M6" s="118"/>
      <c r="N6" s="132"/>
      <c r="O6" s="1"/>
      <c r="P6" s="1"/>
      <c r="Q6" s="1"/>
      <c r="R6" s="1"/>
      <c r="S6" s="172"/>
      <c r="T6" s="119"/>
      <c r="U6" s="120"/>
      <c r="V6" s="117"/>
      <c r="W6" s="119"/>
      <c r="X6" s="120"/>
      <c r="Y6" s="117"/>
      <c r="Z6" s="119"/>
      <c r="AA6" s="117"/>
      <c r="AB6" s="119"/>
      <c r="AC6" s="120"/>
      <c r="AD6" s="120"/>
      <c r="AE6" s="117"/>
      <c r="AF6" s="119"/>
      <c r="AG6" s="117"/>
      <c r="AH6" s="118"/>
      <c r="AI6" s="118"/>
      <c r="AJ6" s="132"/>
    </row>
    <row r="7" ht="18.0" customHeight="1">
      <c r="A7" s="1"/>
      <c r="B7" s="176" t="s">
        <v>256</v>
      </c>
      <c r="C7" s="99"/>
      <c r="D7" s="101"/>
      <c r="E7" s="177" t="s">
        <v>257</v>
      </c>
      <c r="F7" s="99"/>
      <c r="G7" s="102" t="s">
        <v>258</v>
      </c>
      <c r="H7" s="102" t="s">
        <v>253</v>
      </c>
      <c r="I7" s="101"/>
      <c r="J7" s="102" t="s">
        <v>259</v>
      </c>
      <c r="K7" s="318"/>
      <c r="L7" s="98"/>
      <c r="M7" s="98"/>
      <c r="N7" s="146"/>
      <c r="O7" s="1"/>
      <c r="P7" s="1"/>
      <c r="Q7" s="1"/>
      <c r="R7" s="1"/>
      <c r="S7" s="185"/>
      <c r="T7" s="99"/>
      <c r="U7" s="101"/>
      <c r="V7" s="144"/>
      <c r="W7" s="99"/>
      <c r="X7" s="101"/>
      <c r="Y7" s="144"/>
      <c r="Z7" s="99"/>
      <c r="AA7" s="144"/>
      <c r="AB7" s="99"/>
      <c r="AC7" s="101"/>
      <c r="AD7" s="101"/>
      <c r="AE7" s="144"/>
      <c r="AF7" s="99"/>
      <c r="AG7" s="318"/>
      <c r="AH7" s="98"/>
      <c r="AI7" s="98"/>
      <c r="AJ7" s="146"/>
    </row>
    <row r="8" ht="18.0" customHeight="1">
      <c r="A8" s="1"/>
      <c r="B8" s="172"/>
      <c r="C8" s="119"/>
      <c r="D8" s="120"/>
      <c r="E8" s="117"/>
      <c r="F8" s="119"/>
      <c r="G8" s="120"/>
      <c r="H8" s="120"/>
      <c r="I8" s="120"/>
      <c r="J8" s="120"/>
      <c r="K8" s="117"/>
      <c r="L8" s="118"/>
      <c r="M8" s="118"/>
      <c r="N8" s="132"/>
      <c r="O8" s="1"/>
      <c r="P8" s="1"/>
      <c r="Q8" s="1"/>
      <c r="R8" s="1"/>
      <c r="S8" s="53"/>
      <c r="T8" s="94"/>
      <c r="U8" s="95"/>
      <c r="V8" s="96"/>
      <c r="W8" s="94"/>
      <c r="X8" s="95"/>
      <c r="Y8" s="96"/>
      <c r="Z8" s="94"/>
      <c r="AA8" s="96"/>
      <c r="AB8" s="94"/>
      <c r="AC8" s="95"/>
      <c r="AD8" s="95"/>
      <c r="AE8" s="96"/>
      <c r="AF8" s="94"/>
      <c r="AG8" s="96"/>
      <c r="AH8" s="54"/>
      <c r="AI8" s="54"/>
      <c r="AJ8" s="55"/>
    </row>
    <row r="9" ht="18.0" customHeight="1">
      <c r="A9" s="1"/>
      <c r="B9" s="185"/>
      <c r="C9" s="99"/>
      <c r="D9" s="101"/>
      <c r="E9" s="144"/>
      <c r="F9" s="99"/>
      <c r="G9" s="101"/>
      <c r="H9" s="101"/>
      <c r="I9" s="101"/>
      <c r="J9" s="101"/>
      <c r="K9" s="318"/>
      <c r="L9" s="98"/>
      <c r="M9" s="98"/>
      <c r="N9" s="146"/>
      <c r="O9" s="1"/>
      <c r="P9" s="1"/>
      <c r="Q9" s="1"/>
      <c r="R9" s="1"/>
      <c r="S9" s="1"/>
      <c r="T9" s="1"/>
      <c r="U9" s="1"/>
      <c r="V9" s="1"/>
      <c r="W9" s="1"/>
      <c r="X9" s="319" t="s">
        <v>260</v>
      </c>
      <c r="Y9" s="13"/>
      <c r="Z9" s="13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ht="18.0" customHeight="1">
      <c r="A10" s="1"/>
      <c r="B10" s="172"/>
      <c r="C10" s="119"/>
      <c r="D10" s="120"/>
      <c r="E10" s="117"/>
      <c r="F10" s="119"/>
      <c r="G10" s="120"/>
      <c r="H10" s="120"/>
      <c r="I10" s="120"/>
      <c r="J10" s="120"/>
      <c r="K10" s="117"/>
      <c r="L10" s="118"/>
      <c r="M10" s="118"/>
      <c r="N10" s="132"/>
      <c r="O10" s="1"/>
      <c r="P10" s="1"/>
      <c r="Q10" s="1"/>
      <c r="R10" s="1"/>
      <c r="S10" s="3" t="s">
        <v>261</v>
      </c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5"/>
    </row>
    <row r="11" ht="18.0" customHeight="1">
      <c r="A11" s="1"/>
      <c r="B11" s="185"/>
      <c r="C11" s="99"/>
      <c r="D11" s="101"/>
      <c r="E11" s="144"/>
      <c r="F11" s="99"/>
      <c r="G11" s="101"/>
      <c r="H11" s="101"/>
      <c r="I11" s="101"/>
      <c r="J11" s="101"/>
      <c r="K11" s="318"/>
      <c r="L11" s="98"/>
      <c r="M11" s="98"/>
      <c r="N11" s="146"/>
      <c r="O11" s="1"/>
      <c r="P11" s="1"/>
      <c r="Q11" s="1"/>
      <c r="R11" s="1"/>
      <c r="S11" s="304" t="s">
        <v>262</v>
      </c>
      <c r="T11" s="77"/>
      <c r="U11" s="305" t="s">
        <v>159</v>
      </c>
      <c r="V11" s="306" t="s">
        <v>244</v>
      </c>
      <c r="W11" s="77"/>
      <c r="X11" s="306" t="s">
        <v>246</v>
      </c>
      <c r="Y11" s="77"/>
      <c r="Z11" s="306" t="s">
        <v>247</v>
      </c>
      <c r="AA11" s="77"/>
      <c r="AB11" s="305" t="s">
        <v>249</v>
      </c>
      <c r="AC11" s="306" t="s">
        <v>250</v>
      </c>
      <c r="AD11" s="77"/>
      <c r="AE11" s="306" t="s">
        <v>242</v>
      </c>
      <c r="AF11" s="17"/>
      <c r="AG11" s="17"/>
      <c r="AH11" s="17"/>
      <c r="AI11" s="17"/>
      <c r="AJ11" s="18"/>
    </row>
    <row r="12" ht="18.0" customHeight="1">
      <c r="A12" s="1"/>
      <c r="B12" s="172"/>
      <c r="C12" s="119"/>
      <c r="D12" s="120"/>
      <c r="E12" s="117"/>
      <c r="F12" s="119"/>
      <c r="G12" s="120"/>
      <c r="H12" s="120"/>
      <c r="I12" s="120"/>
      <c r="J12" s="120"/>
      <c r="K12" s="117"/>
      <c r="L12" s="118"/>
      <c r="M12" s="118"/>
      <c r="N12" s="132"/>
      <c r="O12" s="1"/>
      <c r="P12" s="1"/>
      <c r="Q12" s="1"/>
      <c r="R12" s="1"/>
      <c r="S12" s="53"/>
      <c r="T12" s="94"/>
      <c r="U12" s="95"/>
      <c r="V12" s="96"/>
      <c r="W12" s="94"/>
      <c r="X12" s="96"/>
      <c r="Y12" s="94"/>
      <c r="Z12" s="96"/>
      <c r="AA12" s="94"/>
      <c r="AB12" s="95"/>
      <c r="AC12" s="96"/>
      <c r="AD12" s="94"/>
      <c r="AE12" s="96"/>
      <c r="AF12" s="54"/>
      <c r="AG12" s="54"/>
      <c r="AH12" s="54"/>
      <c r="AI12" s="54"/>
      <c r="AJ12" s="55"/>
    </row>
    <row r="13" ht="18.0" customHeight="1">
      <c r="A13" s="1"/>
      <c r="B13" s="185"/>
      <c r="C13" s="99"/>
      <c r="D13" s="101"/>
      <c r="E13" s="144"/>
      <c r="F13" s="99"/>
      <c r="G13" s="101"/>
      <c r="H13" s="101"/>
      <c r="I13" s="101"/>
      <c r="J13" s="101"/>
      <c r="K13" s="318"/>
      <c r="L13" s="98"/>
      <c r="M13" s="98"/>
      <c r="N13" s="146"/>
      <c r="O13" s="1"/>
      <c r="P13" s="314" t="s">
        <v>255</v>
      </c>
      <c r="R13" s="314"/>
      <c r="S13" s="315"/>
      <c r="T13" s="109"/>
      <c r="U13" s="311"/>
      <c r="V13" s="112"/>
      <c r="W13" s="109"/>
      <c r="X13" s="112"/>
      <c r="Y13" s="109"/>
      <c r="Z13" s="317"/>
      <c r="AA13" s="109"/>
      <c r="AB13" s="311"/>
      <c r="AC13" s="112"/>
      <c r="AD13" s="109"/>
      <c r="AE13" s="112"/>
      <c r="AF13" s="115"/>
      <c r="AG13" s="115"/>
      <c r="AH13" s="115"/>
      <c r="AI13" s="115"/>
      <c r="AJ13" s="116"/>
    </row>
    <row r="14" ht="18.0" customHeight="1">
      <c r="A14" s="1"/>
      <c r="B14" s="53"/>
      <c r="C14" s="94"/>
      <c r="D14" s="95"/>
      <c r="E14" s="96"/>
      <c r="F14" s="94"/>
      <c r="G14" s="95"/>
      <c r="H14" s="95"/>
      <c r="I14" s="95"/>
      <c r="J14" s="95"/>
      <c r="K14" s="96"/>
      <c r="L14" s="54"/>
      <c r="M14" s="54"/>
      <c r="N14" s="55"/>
      <c r="O14" s="1"/>
      <c r="P14" s="1"/>
      <c r="Q14" s="1"/>
      <c r="R14" s="1"/>
      <c r="S14" s="172"/>
      <c r="T14" s="119"/>
      <c r="U14" s="120"/>
      <c r="V14" s="117"/>
      <c r="W14" s="119"/>
      <c r="X14" s="117"/>
      <c r="Y14" s="119"/>
      <c r="Z14" s="117"/>
      <c r="AA14" s="119"/>
      <c r="AB14" s="120"/>
      <c r="AC14" s="117"/>
      <c r="AD14" s="119"/>
      <c r="AE14" s="117"/>
      <c r="AF14" s="118"/>
      <c r="AG14" s="118"/>
      <c r="AH14" s="118"/>
      <c r="AI14" s="118"/>
      <c r="AJ14" s="132"/>
    </row>
    <row r="15" ht="18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N15" s="1"/>
      <c r="O15" s="1"/>
      <c r="P15" s="1"/>
      <c r="Q15" s="1"/>
      <c r="R15" s="1"/>
      <c r="S15" s="185"/>
      <c r="T15" s="99"/>
      <c r="U15" s="101"/>
      <c r="V15" s="144"/>
      <c r="W15" s="99"/>
      <c r="X15" s="144"/>
      <c r="Y15" s="99"/>
      <c r="Z15" s="144"/>
      <c r="AA15" s="99"/>
      <c r="AB15" s="101"/>
      <c r="AC15" s="144"/>
      <c r="AD15" s="99"/>
      <c r="AE15" s="144"/>
      <c r="AF15" s="98"/>
      <c r="AG15" s="98"/>
      <c r="AH15" s="98"/>
      <c r="AI15" s="98"/>
      <c r="AJ15" s="146"/>
    </row>
    <row r="16" ht="18.0" customHeight="1">
      <c r="A16" s="1"/>
      <c r="B16" s="320" t="s">
        <v>263</v>
      </c>
      <c r="C16" s="321" t="s">
        <v>264</v>
      </c>
      <c r="D16" s="13"/>
      <c r="E16" s="321" t="s">
        <v>265</v>
      </c>
      <c r="F16" s="14"/>
      <c r="G16" s="1"/>
      <c r="H16" s="320" t="s">
        <v>266</v>
      </c>
      <c r="I16" s="322"/>
      <c r="J16" s="17"/>
      <c r="K16" s="17"/>
      <c r="L16" s="17"/>
      <c r="M16" s="17"/>
      <c r="N16" s="18"/>
      <c r="O16" s="1"/>
      <c r="P16" s="1"/>
      <c r="Q16" s="1"/>
      <c r="R16" s="1"/>
      <c r="S16" s="53"/>
      <c r="T16" s="94"/>
      <c r="U16" s="95"/>
      <c r="V16" s="96"/>
      <c r="W16" s="94"/>
      <c r="X16" s="96"/>
      <c r="Y16" s="94"/>
      <c r="Z16" s="96"/>
      <c r="AA16" s="94"/>
      <c r="AB16" s="95"/>
      <c r="AC16" s="96"/>
      <c r="AD16" s="94"/>
      <c r="AE16" s="96"/>
      <c r="AF16" s="54"/>
      <c r="AG16" s="54"/>
      <c r="AH16" s="54"/>
      <c r="AI16" s="54"/>
      <c r="AJ16" s="55"/>
    </row>
    <row r="17" ht="18.0" customHeight="1">
      <c r="A17" s="1"/>
      <c r="B17" s="203"/>
      <c r="C17" s="323" t="s">
        <v>267</v>
      </c>
      <c r="D17" s="31"/>
      <c r="E17" s="323" t="s">
        <v>268</v>
      </c>
      <c r="F17" s="324"/>
      <c r="G17" s="1"/>
      <c r="H17" s="203"/>
      <c r="I17" s="34"/>
      <c r="N17" s="3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8.0" customHeight="1">
      <c r="A18" s="1"/>
      <c r="B18" s="203"/>
      <c r="C18" s="246"/>
      <c r="D18" s="39"/>
      <c r="E18" s="246"/>
      <c r="F18" s="75"/>
      <c r="G18" s="1"/>
      <c r="H18" s="203"/>
      <c r="I18" s="34"/>
      <c r="N18" s="35"/>
      <c r="O18" s="1"/>
      <c r="P18" s="1"/>
      <c r="Q18" s="1"/>
      <c r="R18" s="1"/>
      <c r="S18" s="325" t="s">
        <v>269</v>
      </c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  <c r="AE18" s="218"/>
      <c r="AF18" s="218"/>
      <c r="AG18" s="218"/>
      <c r="AH18" s="218"/>
      <c r="AI18" s="218"/>
      <c r="AJ18" s="218"/>
    </row>
    <row r="19" ht="18.0" customHeight="1">
      <c r="A19" s="1"/>
      <c r="B19" s="326"/>
      <c r="C19" s="253"/>
      <c r="D19" s="50"/>
      <c r="E19" s="253"/>
      <c r="F19" s="299"/>
      <c r="G19" s="1"/>
      <c r="H19" s="326"/>
      <c r="I19" s="53"/>
      <c r="J19" s="54"/>
      <c r="K19" s="54"/>
      <c r="L19" s="54"/>
      <c r="M19" s="54"/>
      <c r="N19" s="55"/>
      <c r="O19" s="1"/>
      <c r="P19" s="1"/>
      <c r="Q19" s="1"/>
      <c r="R19" s="1"/>
      <c r="S19" s="307" t="s">
        <v>270</v>
      </c>
      <c r="T19" s="109"/>
      <c r="U19" s="308" t="s">
        <v>241</v>
      </c>
      <c r="V19" s="309" t="s">
        <v>244</v>
      </c>
      <c r="W19" s="109"/>
      <c r="X19" s="308" t="s">
        <v>245</v>
      </c>
      <c r="Y19" s="306" t="s">
        <v>246</v>
      </c>
      <c r="Z19" s="77"/>
      <c r="AA19" s="306" t="s">
        <v>247</v>
      </c>
      <c r="AB19" s="77"/>
      <c r="AC19" s="305" t="s">
        <v>248</v>
      </c>
      <c r="AD19" s="305" t="s">
        <v>249</v>
      </c>
      <c r="AE19" s="306" t="s">
        <v>250</v>
      </c>
      <c r="AF19" s="77"/>
      <c r="AG19" s="306" t="s">
        <v>242</v>
      </c>
      <c r="AH19" s="17"/>
      <c r="AI19" s="17"/>
      <c r="AJ19" s="18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N20" s="1"/>
      <c r="O20" s="1"/>
      <c r="P20" s="1"/>
      <c r="Q20" s="1"/>
      <c r="R20" s="1"/>
      <c r="S20" s="53"/>
      <c r="T20" s="94"/>
      <c r="U20" s="95"/>
      <c r="V20" s="96"/>
      <c r="W20" s="94"/>
      <c r="X20" s="95"/>
      <c r="Y20" s="96"/>
      <c r="Z20" s="94"/>
      <c r="AA20" s="96"/>
      <c r="AB20" s="94"/>
      <c r="AC20" s="95"/>
      <c r="AD20" s="95"/>
      <c r="AE20" s="96"/>
      <c r="AF20" s="94"/>
      <c r="AG20" s="96"/>
      <c r="AH20" s="54"/>
      <c r="AI20" s="54"/>
      <c r="AJ20" s="55"/>
    </row>
    <row r="21" ht="18.0" customHeight="1">
      <c r="A21" s="1"/>
      <c r="B21" s="3" t="s">
        <v>271</v>
      </c>
      <c r="C21" s="4"/>
      <c r="D21" s="4"/>
      <c r="E21" s="4"/>
      <c r="F21" s="4"/>
      <c r="G21" s="4"/>
      <c r="H21" s="4"/>
      <c r="I21" s="5"/>
      <c r="J21" s="1"/>
      <c r="K21" s="1"/>
      <c r="N21" s="1"/>
      <c r="O21" s="1"/>
      <c r="P21" s="1"/>
      <c r="Q21" s="1"/>
      <c r="R21" s="1"/>
      <c r="S21" s="315"/>
      <c r="T21" s="109"/>
      <c r="U21" s="311"/>
      <c r="V21" s="112"/>
      <c r="W21" s="109"/>
      <c r="X21" s="311"/>
      <c r="Y21" s="316"/>
      <c r="Z21" s="77"/>
      <c r="AA21" s="112"/>
      <c r="AB21" s="109"/>
      <c r="AC21" s="311"/>
      <c r="AD21" s="311"/>
      <c r="AE21" s="112"/>
      <c r="AF21" s="109"/>
      <c r="AG21" s="313"/>
      <c r="AH21" s="115"/>
      <c r="AI21" s="115"/>
      <c r="AJ21" s="116"/>
    </row>
    <row r="22" ht="18.0" customHeight="1">
      <c r="A22" s="1"/>
      <c r="B22" s="327" t="s">
        <v>272</v>
      </c>
      <c r="C22" s="38"/>
      <c r="D22" s="38"/>
      <c r="E22" s="328"/>
      <c r="F22" s="329" t="s">
        <v>235</v>
      </c>
      <c r="G22" s="38"/>
      <c r="H22" s="38"/>
      <c r="I22" s="75"/>
      <c r="J22" s="1"/>
      <c r="K22" s="320" t="s">
        <v>266</v>
      </c>
      <c r="L22" s="322"/>
      <c r="M22" s="17"/>
      <c r="N22" s="17"/>
      <c r="O22" s="17"/>
      <c r="P22" s="17"/>
      <c r="Q22" s="18"/>
      <c r="R22" s="330"/>
      <c r="S22" s="172"/>
      <c r="T22" s="119"/>
      <c r="U22" s="120"/>
      <c r="V22" s="117"/>
      <c r="W22" s="119"/>
      <c r="X22" s="120"/>
      <c r="Y22" s="117"/>
      <c r="Z22" s="119"/>
      <c r="AA22" s="117"/>
      <c r="AB22" s="119"/>
      <c r="AC22" s="120"/>
      <c r="AD22" s="120"/>
      <c r="AE22" s="117"/>
      <c r="AF22" s="119"/>
      <c r="AG22" s="117"/>
      <c r="AH22" s="118"/>
      <c r="AI22" s="118"/>
      <c r="AJ22" s="132"/>
    </row>
    <row r="23" ht="18.0" customHeight="1">
      <c r="A23" s="1"/>
      <c r="B23" s="331" t="s">
        <v>273</v>
      </c>
      <c r="C23" s="38"/>
      <c r="D23" s="39"/>
      <c r="E23" s="332"/>
      <c r="F23" s="333" t="s">
        <v>274</v>
      </c>
      <c r="G23" s="38"/>
      <c r="H23" s="39"/>
      <c r="I23" s="42"/>
      <c r="J23" s="1"/>
      <c r="K23" s="203"/>
      <c r="L23" s="34"/>
      <c r="Q23" s="35"/>
      <c r="R23" s="330"/>
      <c r="S23" s="185"/>
      <c r="T23" s="99"/>
      <c r="U23" s="101"/>
      <c r="V23" s="144"/>
      <c r="W23" s="99"/>
      <c r="X23" s="101"/>
      <c r="Y23" s="144"/>
      <c r="Z23" s="99"/>
      <c r="AA23" s="144"/>
      <c r="AB23" s="99"/>
      <c r="AC23" s="101"/>
      <c r="AD23" s="101"/>
      <c r="AE23" s="144"/>
      <c r="AF23" s="99"/>
      <c r="AG23" s="318"/>
      <c r="AH23" s="98"/>
      <c r="AI23" s="98"/>
      <c r="AJ23" s="146"/>
    </row>
    <row r="24" ht="18.0" customHeight="1">
      <c r="A24" s="1"/>
      <c r="B24" s="331" t="s">
        <v>275</v>
      </c>
      <c r="C24" s="38"/>
      <c r="D24" s="39"/>
      <c r="E24" s="332"/>
      <c r="F24" s="333" t="s">
        <v>276</v>
      </c>
      <c r="G24" s="38"/>
      <c r="H24" s="39"/>
      <c r="I24" s="42"/>
      <c r="J24" s="1"/>
      <c r="K24" s="203"/>
      <c r="L24" s="34"/>
      <c r="Q24" s="35"/>
      <c r="R24" s="330"/>
      <c r="S24" s="53"/>
      <c r="T24" s="94"/>
      <c r="U24" s="95"/>
      <c r="V24" s="96"/>
      <c r="W24" s="94"/>
      <c r="X24" s="95"/>
      <c r="Y24" s="96"/>
      <c r="Z24" s="94"/>
      <c r="AA24" s="96"/>
      <c r="AB24" s="94"/>
      <c r="AC24" s="95"/>
      <c r="AD24" s="95"/>
      <c r="AE24" s="96"/>
      <c r="AF24" s="94"/>
      <c r="AG24" s="96"/>
      <c r="AH24" s="54"/>
      <c r="AI24" s="54"/>
      <c r="AJ24" s="55"/>
    </row>
    <row r="25" ht="18.0" customHeight="1">
      <c r="A25" s="1"/>
      <c r="B25" s="331" t="s">
        <v>277</v>
      </c>
      <c r="C25" s="38"/>
      <c r="D25" s="39"/>
      <c r="E25" s="332"/>
      <c r="F25" s="333" t="s">
        <v>278</v>
      </c>
      <c r="G25" s="38"/>
      <c r="H25" s="39"/>
      <c r="I25" s="42"/>
      <c r="J25" s="1"/>
      <c r="K25" s="326"/>
      <c r="L25" s="53"/>
      <c r="M25" s="54"/>
      <c r="N25" s="54"/>
      <c r="O25" s="54"/>
      <c r="P25" s="54"/>
      <c r="Q25" s="55"/>
      <c r="R25" s="330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8.0" customHeight="1">
      <c r="A26" s="1"/>
      <c r="B26" s="331" t="s">
        <v>277</v>
      </c>
      <c r="C26" s="38"/>
      <c r="D26" s="39"/>
      <c r="E26" s="332"/>
      <c r="F26" s="333" t="s">
        <v>174</v>
      </c>
      <c r="G26" s="38"/>
      <c r="H26" s="39"/>
      <c r="I26" s="4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8.0" customHeight="1">
      <c r="A27" s="1"/>
      <c r="B27" s="331" t="s">
        <v>279</v>
      </c>
      <c r="C27" s="38"/>
      <c r="D27" s="39"/>
      <c r="E27" s="332"/>
      <c r="F27" s="333"/>
      <c r="G27" s="38"/>
      <c r="H27" s="39"/>
      <c r="I27" s="4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8.0" customHeight="1">
      <c r="A28" s="1"/>
      <c r="B28" s="331" t="s">
        <v>279</v>
      </c>
      <c r="C28" s="38"/>
      <c r="D28" s="39"/>
      <c r="E28" s="332"/>
      <c r="F28" s="333"/>
      <c r="G28" s="38"/>
      <c r="H28" s="39"/>
      <c r="I28" s="4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8.0" customHeight="1">
      <c r="A29" s="1"/>
      <c r="B29" s="331"/>
      <c r="C29" s="38"/>
      <c r="D29" s="39"/>
      <c r="E29" s="332"/>
      <c r="F29" s="333"/>
      <c r="G29" s="38"/>
      <c r="H29" s="39"/>
      <c r="I29" s="4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8.0" customHeight="1">
      <c r="A30" s="1"/>
      <c r="B30" s="334"/>
      <c r="C30" s="49"/>
      <c r="D30" s="50"/>
      <c r="E30" s="335"/>
      <c r="F30" s="336"/>
      <c r="G30" s="49"/>
      <c r="H30" s="50"/>
      <c r="I30" s="5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8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8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8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8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8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8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8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8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8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8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171">
    <mergeCell ref="K3:N4"/>
    <mergeCell ref="S3:T4"/>
    <mergeCell ref="U3:U4"/>
    <mergeCell ref="V3:W4"/>
    <mergeCell ref="X3:X4"/>
    <mergeCell ref="Y3:Z4"/>
    <mergeCell ref="AA3:AB4"/>
    <mergeCell ref="AC3:AC4"/>
    <mergeCell ref="AA5:AB6"/>
    <mergeCell ref="AC5:AC6"/>
    <mergeCell ref="AD5:AD6"/>
    <mergeCell ref="AD3:AD4"/>
    <mergeCell ref="AE3:AF4"/>
    <mergeCell ref="AE5:AF6"/>
    <mergeCell ref="AG5:AJ6"/>
    <mergeCell ref="B2:N2"/>
    <mergeCell ref="S2:AJ2"/>
    <mergeCell ref="B3:C4"/>
    <mergeCell ref="D3:D4"/>
    <mergeCell ref="E3:F4"/>
    <mergeCell ref="G3:G4"/>
    <mergeCell ref="H3:H4"/>
    <mergeCell ref="AG3:AJ4"/>
    <mergeCell ref="I3:I4"/>
    <mergeCell ref="J3:J4"/>
    <mergeCell ref="B5:C6"/>
    <mergeCell ref="D5:D6"/>
    <mergeCell ref="E5:F6"/>
    <mergeCell ref="G5:G6"/>
    <mergeCell ref="H5:H6"/>
    <mergeCell ref="X5:X6"/>
    <mergeCell ref="Y5:Z6"/>
    <mergeCell ref="X9:Z9"/>
    <mergeCell ref="I5:I6"/>
    <mergeCell ref="J5:J6"/>
    <mergeCell ref="K5:N6"/>
    <mergeCell ref="P5:Q5"/>
    <mergeCell ref="S5:T6"/>
    <mergeCell ref="U5:U6"/>
    <mergeCell ref="V5:W6"/>
    <mergeCell ref="AC7:AC8"/>
    <mergeCell ref="AD7:AD8"/>
    <mergeCell ref="AE7:AF8"/>
    <mergeCell ref="AG7:AJ8"/>
    <mergeCell ref="K7:N8"/>
    <mergeCell ref="S7:T8"/>
    <mergeCell ref="U7:U8"/>
    <mergeCell ref="V7:W8"/>
    <mergeCell ref="X7:X8"/>
    <mergeCell ref="Y7:Z8"/>
    <mergeCell ref="AA7:AB8"/>
    <mergeCell ref="B7:C8"/>
    <mergeCell ref="D7:D8"/>
    <mergeCell ref="E7:F8"/>
    <mergeCell ref="G7:G8"/>
    <mergeCell ref="H7:H8"/>
    <mergeCell ref="I7:I8"/>
    <mergeCell ref="J7:J8"/>
    <mergeCell ref="K9:N10"/>
    <mergeCell ref="S10:AJ10"/>
    <mergeCell ref="B9:C10"/>
    <mergeCell ref="D9:D10"/>
    <mergeCell ref="E9:F10"/>
    <mergeCell ref="G9:G10"/>
    <mergeCell ref="H9:H10"/>
    <mergeCell ref="I9:I10"/>
    <mergeCell ref="J9:J10"/>
    <mergeCell ref="S15:T16"/>
    <mergeCell ref="U15:U16"/>
    <mergeCell ref="V15:W16"/>
    <mergeCell ref="X15:Y16"/>
    <mergeCell ref="Z15:AA16"/>
    <mergeCell ref="AB15:AB16"/>
    <mergeCell ref="AC15:AD16"/>
    <mergeCell ref="AD19:AD20"/>
    <mergeCell ref="AE19:AF20"/>
    <mergeCell ref="AE15:AJ16"/>
    <mergeCell ref="S18:AJ18"/>
    <mergeCell ref="U19:U20"/>
    <mergeCell ref="V19:W20"/>
    <mergeCell ref="X19:X20"/>
    <mergeCell ref="Y19:Z20"/>
    <mergeCell ref="AG19:AJ20"/>
    <mergeCell ref="AC21:AC22"/>
    <mergeCell ref="AD21:AD22"/>
    <mergeCell ref="AE21:AF22"/>
    <mergeCell ref="AG21:AJ22"/>
    <mergeCell ref="S19:T20"/>
    <mergeCell ref="S21:T22"/>
    <mergeCell ref="U21:U22"/>
    <mergeCell ref="V21:W22"/>
    <mergeCell ref="X21:X22"/>
    <mergeCell ref="Y21:Z22"/>
    <mergeCell ref="AA21:AB22"/>
    <mergeCell ref="AD23:AD24"/>
    <mergeCell ref="AE23:AF24"/>
    <mergeCell ref="AG23:AJ24"/>
    <mergeCell ref="S23:T24"/>
    <mergeCell ref="U23:U24"/>
    <mergeCell ref="V23:W24"/>
    <mergeCell ref="X23:X24"/>
    <mergeCell ref="Y23:Z24"/>
    <mergeCell ref="AA23:AB24"/>
    <mergeCell ref="AC23:AC24"/>
    <mergeCell ref="AC11:AD12"/>
    <mergeCell ref="AE11:AJ12"/>
    <mergeCell ref="K11:N12"/>
    <mergeCell ref="S11:T12"/>
    <mergeCell ref="U11:U12"/>
    <mergeCell ref="V11:W12"/>
    <mergeCell ref="X11:Y12"/>
    <mergeCell ref="Z11:AA12"/>
    <mergeCell ref="AB11:AB12"/>
    <mergeCell ref="B11:C12"/>
    <mergeCell ref="D11:D12"/>
    <mergeCell ref="E11:F12"/>
    <mergeCell ref="G11:G12"/>
    <mergeCell ref="H11:H12"/>
    <mergeCell ref="I11:I12"/>
    <mergeCell ref="J11:J12"/>
    <mergeCell ref="AB13:AB14"/>
    <mergeCell ref="AC13:AD14"/>
    <mergeCell ref="AE13:AJ14"/>
    <mergeCell ref="K13:N14"/>
    <mergeCell ref="P13:Q13"/>
    <mergeCell ref="S13:T14"/>
    <mergeCell ref="U13:U14"/>
    <mergeCell ref="V13:W14"/>
    <mergeCell ref="X13:Y14"/>
    <mergeCell ref="Z13:AA14"/>
    <mergeCell ref="H13:H14"/>
    <mergeCell ref="H16:H19"/>
    <mergeCell ref="I16:N19"/>
    <mergeCell ref="AA19:AB20"/>
    <mergeCell ref="AC19:AC20"/>
    <mergeCell ref="B28:D28"/>
    <mergeCell ref="B29:D29"/>
    <mergeCell ref="B30:D30"/>
    <mergeCell ref="F29:H29"/>
    <mergeCell ref="F30:H30"/>
    <mergeCell ref="B25:D25"/>
    <mergeCell ref="F25:H25"/>
    <mergeCell ref="B26:D26"/>
    <mergeCell ref="F26:H26"/>
    <mergeCell ref="B27:D27"/>
    <mergeCell ref="F27:H27"/>
    <mergeCell ref="F28:H28"/>
    <mergeCell ref="D13:D14"/>
    <mergeCell ref="C16:D16"/>
    <mergeCell ref="C17:D17"/>
    <mergeCell ref="E17:F17"/>
    <mergeCell ref="C18:D18"/>
    <mergeCell ref="E18:F18"/>
    <mergeCell ref="C19:D19"/>
    <mergeCell ref="E19:F19"/>
    <mergeCell ref="B13:C14"/>
    <mergeCell ref="E13:F14"/>
    <mergeCell ref="G13:G14"/>
    <mergeCell ref="I13:I14"/>
    <mergeCell ref="J13:J14"/>
    <mergeCell ref="B16:B19"/>
    <mergeCell ref="E16:F16"/>
    <mergeCell ref="F23:H23"/>
    <mergeCell ref="F24:H24"/>
    <mergeCell ref="B21:I21"/>
    <mergeCell ref="B22:E22"/>
    <mergeCell ref="F22:I22"/>
    <mergeCell ref="K22:K25"/>
    <mergeCell ref="L22:Q25"/>
    <mergeCell ref="B23:D23"/>
    <mergeCell ref="B24:D2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8.0"/>
    <col customWidth="1" min="4" max="4" width="21.25"/>
    <col customWidth="1" min="5" max="5" width="15.5"/>
    <col customWidth="1" min="6" max="6" width="26.5"/>
    <col customWidth="1" min="7" max="7" width="22.25"/>
    <col customWidth="1" min="8" max="8" width="28.5"/>
    <col customWidth="1" min="9" max="9" width="33.0"/>
    <col customWidth="1" min="10" max="13" width="8.0"/>
    <col customWidth="1" min="14" max="14" width="2.38"/>
    <col customWidth="1" min="15" max="16" width="8.0"/>
    <col customWidth="1" min="17" max="17" width="1.38"/>
    <col customWidth="1" min="18" max="18" width="8.0"/>
    <col customWidth="1" min="19" max="19" width="1.0"/>
    <col customWidth="1" min="20" max="20" width="8.75"/>
    <col customWidth="1" min="21" max="21" width="9.88"/>
    <col customWidth="1" min="22" max="22" width="2.13"/>
    <col customWidth="1" min="23" max="25" width="8.0"/>
    <col customWidth="1" min="26" max="26" width="3.13"/>
    <col customWidth="1" min="27" max="27" width="2.38"/>
    <col customWidth="1" min="28" max="28" width="2.63"/>
    <col customWidth="1" min="29" max="29" width="2.75"/>
    <col customWidth="1" min="30" max="30" width="10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5.0" customHeight="1">
      <c r="A2" s="1"/>
      <c r="B2" s="3" t="s">
        <v>280</v>
      </c>
      <c r="C2" s="4"/>
      <c r="D2" s="4"/>
      <c r="E2" s="4"/>
      <c r="F2" s="4"/>
      <c r="G2" s="5"/>
      <c r="H2" s="1"/>
      <c r="I2" s="3" t="s">
        <v>281</v>
      </c>
      <c r="J2" s="4"/>
      <c r="K2" s="4"/>
      <c r="L2" s="4"/>
      <c r="M2" s="5"/>
      <c r="N2" s="1"/>
      <c r="O2" s="337" t="s">
        <v>282</v>
      </c>
      <c r="P2" s="4"/>
      <c r="Q2" s="4"/>
      <c r="R2" s="4"/>
      <c r="S2" s="4"/>
      <c r="T2" s="4"/>
      <c r="U2" s="5"/>
      <c r="V2" s="1"/>
      <c r="W2" s="338" t="s">
        <v>283</v>
      </c>
      <c r="X2" s="218"/>
      <c r="Y2" s="218"/>
      <c r="Z2" s="218"/>
      <c r="AA2" s="218"/>
      <c r="AB2" s="218"/>
      <c r="AC2" s="218"/>
      <c r="AD2" s="339"/>
    </row>
    <row r="3">
      <c r="A3" s="1"/>
      <c r="B3" s="340" t="s">
        <v>284</v>
      </c>
      <c r="C3" s="115"/>
      <c r="D3" s="115"/>
      <c r="E3" s="115"/>
      <c r="F3" s="115"/>
      <c r="G3" s="116"/>
      <c r="H3" s="1"/>
      <c r="I3" s="341"/>
      <c r="J3" s="115"/>
      <c r="K3" s="115"/>
      <c r="L3" s="115"/>
      <c r="M3" s="116"/>
      <c r="N3" s="1"/>
      <c r="O3" s="342" t="s">
        <v>285</v>
      </c>
      <c r="P3" s="343"/>
      <c r="Q3" s="38"/>
      <c r="R3" s="38"/>
      <c r="S3" s="38"/>
      <c r="T3" s="38"/>
      <c r="U3" s="39"/>
      <c r="V3" s="1"/>
      <c r="W3" s="344" t="s">
        <v>286</v>
      </c>
      <c r="X3" s="38"/>
      <c r="Y3" s="39"/>
      <c r="Z3" s="345" t="s">
        <v>287</v>
      </c>
      <c r="AA3" s="345" t="s">
        <v>288</v>
      </c>
      <c r="AB3" s="345" t="s">
        <v>289</v>
      </c>
      <c r="AC3" s="345" t="s">
        <v>200</v>
      </c>
      <c r="AD3" s="1"/>
    </row>
    <row r="4">
      <c r="A4" s="1"/>
      <c r="B4" s="34"/>
      <c r="G4" s="35"/>
      <c r="H4" s="1"/>
      <c r="I4" s="34"/>
      <c r="M4" s="35"/>
      <c r="N4" s="1"/>
      <c r="O4" s="345" t="s">
        <v>290</v>
      </c>
      <c r="P4" s="343"/>
      <c r="Q4" s="38"/>
      <c r="R4" s="38"/>
      <c r="S4" s="38"/>
      <c r="T4" s="38"/>
      <c r="U4" s="39"/>
      <c r="V4" s="1"/>
      <c r="W4" s="223" t="s">
        <v>291</v>
      </c>
      <c r="X4" s="38"/>
      <c r="Y4" s="39"/>
      <c r="Z4" s="32"/>
      <c r="AA4" s="346" t="s">
        <v>28</v>
      </c>
      <c r="AB4" s="32"/>
      <c r="AC4" s="32"/>
      <c r="AD4" s="1"/>
    </row>
    <row r="5">
      <c r="A5" s="1"/>
      <c r="B5" s="34"/>
      <c r="G5" s="35"/>
      <c r="H5" s="1"/>
      <c r="I5" s="34"/>
      <c r="M5" s="35"/>
      <c r="N5" s="1"/>
      <c r="O5" s="345" t="s">
        <v>292</v>
      </c>
      <c r="P5" s="347"/>
      <c r="Q5" s="134"/>
      <c r="R5" s="134"/>
      <c r="S5" s="134"/>
      <c r="T5" s="134"/>
      <c r="U5" s="230"/>
      <c r="V5" s="1"/>
      <c r="W5" s="223" t="s">
        <v>293</v>
      </c>
      <c r="X5" s="38"/>
      <c r="Y5" s="39"/>
      <c r="Z5" s="346" t="s">
        <v>28</v>
      </c>
      <c r="AA5" s="32"/>
      <c r="AB5" s="32"/>
      <c r="AC5" s="32"/>
      <c r="AD5" s="1"/>
    </row>
    <row r="6">
      <c r="A6" s="1"/>
      <c r="B6" s="34"/>
      <c r="G6" s="35"/>
      <c r="H6" s="1"/>
      <c r="I6" s="34"/>
      <c r="M6" s="35"/>
      <c r="N6" s="1"/>
      <c r="O6" s="348"/>
      <c r="P6" s="218"/>
      <c r="Q6" s="218"/>
      <c r="R6" s="218"/>
      <c r="S6" s="218"/>
      <c r="T6" s="218"/>
      <c r="U6" s="349"/>
      <c r="V6" s="1"/>
      <c r="W6" s="223" t="s">
        <v>294</v>
      </c>
      <c r="X6" s="38"/>
      <c r="Y6" s="39"/>
      <c r="Z6" s="346" t="s">
        <v>28</v>
      </c>
      <c r="AA6" s="346"/>
      <c r="AB6" s="32"/>
      <c r="AC6" s="32"/>
      <c r="AD6" s="1"/>
    </row>
    <row r="7">
      <c r="A7" s="1"/>
      <c r="B7" s="34"/>
      <c r="G7" s="35"/>
      <c r="H7" s="1"/>
      <c r="I7" s="34"/>
      <c r="M7" s="35"/>
      <c r="N7" s="1"/>
      <c r="O7" s="350"/>
      <c r="P7" s="30"/>
      <c r="Q7" s="30"/>
      <c r="R7" s="30"/>
      <c r="S7" s="30"/>
      <c r="T7" s="30"/>
      <c r="U7" s="31"/>
      <c r="V7" s="1"/>
      <c r="W7" s="223" t="s">
        <v>295</v>
      </c>
      <c r="X7" s="38"/>
      <c r="Y7" s="39"/>
      <c r="Z7" s="32"/>
      <c r="AA7" s="346" t="s">
        <v>28</v>
      </c>
      <c r="AB7" s="32"/>
      <c r="AC7" s="32"/>
      <c r="AD7" s="1"/>
    </row>
    <row r="8">
      <c r="A8" s="1"/>
      <c r="B8" s="34"/>
      <c r="G8" s="35"/>
      <c r="H8" s="1"/>
      <c r="I8" s="34"/>
      <c r="M8" s="35"/>
      <c r="N8" s="1"/>
      <c r="O8" s="345" t="s">
        <v>290</v>
      </c>
      <c r="P8" s="343"/>
      <c r="Q8" s="38"/>
      <c r="R8" s="38"/>
      <c r="S8" s="38"/>
      <c r="T8" s="38"/>
      <c r="U8" s="39"/>
      <c r="V8" s="1"/>
      <c r="W8" s="223" t="s">
        <v>296</v>
      </c>
      <c r="X8" s="38"/>
      <c r="Y8" s="39"/>
      <c r="Z8" s="346" t="s">
        <v>28</v>
      </c>
      <c r="AA8" s="32"/>
      <c r="AB8" s="32"/>
      <c r="AC8" s="32"/>
      <c r="AD8" s="1"/>
    </row>
    <row r="9">
      <c r="A9" s="1"/>
      <c r="B9" s="34"/>
      <c r="G9" s="35"/>
      <c r="H9" s="1"/>
      <c r="I9" s="34"/>
      <c r="M9" s="35"/>
      <c r="N9" s="1"/>
      <c r="O9" s="345" t="s">
        <v>292</v>
      </c>
      <c r="P9" s="347"/>
      <c r="Q9" s="134"/>
      <c r="R9" s="134"/>
      <c r="S9" s="134"/>
      <c r="T9" s="134"/>
      <c r="U9" s="230"/>
      <c r="V9" s="1"/>
      <c r="W9" s="223" t="s">
        <v>297</v>
      </c>
      <c r="X9" s="38"/>
      <c r="Y9" s="39"/>
      <c r="Z9" s="32"/>
      <c r="AA9" s="346" t="s">
        <v>28</v>
      </c>
      <c r="AB9" s="32"/>
      <c r="AC9" s="32"/>
      <c r="AD9" s="1"/>
    </row>
    <row r="10">
      <c r="A10" s="1"/>
      <c r="B10" s="34"/>
      <c r="G10" s="35"/>
      <c r="H10" s="1"/>
      <c r="I10" s="34"/>
      <c r="M10" s="35"/>
      <c r="N10" s="1"/>
      <c r="O10" s="348"/>
      <c r="P10" s="218"/>
      <c r="Q10" s="218"/>
      <c r="R10" s="218"/>
      <c r="S10" s="218"/>
      <c r="T10" s="218"/>
      <c r="U10" s="349"/>
      <c r="V10" s="1"/>
      <c r="W10" s="223" t="s">
        <v>298</v>
      </c>
      <c r="X10" s="38"/>
      <c r="Y10" s="39"/>
      <c r="Z10" s="32"/>
      <c r="AA10" s="346" t="s">
        <v>28</v>
      </c>
      <c r="AB10" s="32"/>
      <c r="AC10" s="32"/>
      <c r="AD10" s="1"/>
    </row>
    <row r="11">
      <c r="A11" s="1"/>
      <c r="B11" s="34"/>
      <c r="G11" s="35"/>
      <c r="H11" s="1"/>
      <c r="I11" s="34"/>
      <c r="M11" s="35"/>
      <c r="N11" s="1"/>
      <c r="O11" s="350"/>
      <c r="P11" s="30"/>
      <c r="Q11" s="30"/>
      <c r="R11" s="30"/>
      <c r="S11" s="30"/>
      <c r="T11" s="30"/>
      <c r="U11" s="31"/>
      <c r="V11" s="1"/>
      <c r="W11" s="223" t="s">
        <v>299</v>
      </c>
      <c r="X11" s="38"/>
      <c r="Y11" s="39"/>
      <c r="Z11" s="32"/>
      <c r="AA11" s="346" t="s">
        <v>28</v>
      </c>
      <c r="AB11" s="32"/>
      <c r="AC11" s="32"/>
      <c r="AD11" s="1"/>
    </row>
    <row r="12">
      <c r="A12" s="1"/>
      <c r="B12" s="34"/>
      <c r="G12" s="35"/>
      <c r="H12" s="1"/>
      <c r="I12" s="34"/>
      <c r="M12" s="35"/>
      <c r="N12" s="1"/>
      <c r="O12" s="345" t="s">
        <v>290</v>
      </c>
      <c r="P12" s="343"/>
      <c r="Q12" s="38"/>
      <c r="R12" s="38"/>
      <c r="S12" s="38"/>
      <c r="T12" s="38"/>
      <c r="U12" s="39"/>
      <c r="V12" s="1"/>
      <c r="W12" s="223" t="s">
        <v>300</v>
      </c>
      <c r="X12" s="38"/>
      <c r="Y12" s="39"/>
      <c r="Z12" s="32"/>
      <c r="AA12" s="346" t="s">
        <v>28</v>
      </c>
      <c r="AB12" s="32"/>
      <c r="AC12" s="32"/>
      <c r="AD12" s="1"/>
    </row>
    <row r="13">
      <c r="A13" s="1"/>
      <c r="B13" s="34"/>
      <c r="G13" s="35"/>
      <c r="H13" s="1"/>
      <c r="I13" s="34"/>
      <c r="M13" s="35"/>
      <c r="N13" s="1"/>
      <c r="O13" s="345" t="s">
        <v>292</v>
      </c>
      <c r="P13" s="347"/>
      <c r="Q13" s="134"/>
      <c r="R13" s="134"/>
      <c r="S13" s="134"/>
      <c r="T13" s="134"/>
      <c r="U13" s="230"/>
      <c r="V13" s="1"/>
      <c r="W13" s="223" t="s">
        <v>301</v>
      </c>
      <c r="X13" s="38"/>
      <c r="Y13" s="39"/>
      <c r="Z13" s="32"/>
      <c r="AA13" s="346" t="s">
        <v>28</v>
      </c>
      <c r="AB13" s="32"/>
      <c r="AC13" s="32"/>
      <c r="AD13" s="1"/>
    </row>
    <row r="14">
      <c r="A14" s="1"/>
      <c r="B14" s="34"/>
      <c r="G14" s="35"/>
      <c r="H14" s="1"/>
      <c r="I14" s="34"/>
      <c r="M14" s="35"/>
      <c r="N14" s="1"/>
      <c r="O14" s="348"/>
      <c r="P14" s="218"/>
      <c r="Q14" s="218"/>
      <c r="R14" s="218"/>
      <c r="S14" s="218"/>
      <c r="T14" s="218"/>
      <c r="U14" s="349"/>
      <c r="V14" s="1"/>
      <c r="W14" s="223" t="s">
        <v>302</v>
      </c>
      <c r="X14" s="38"/>
      <c r="Y14" s="39"/>
      <c r="Z14" s="32"/>
      <c r="AA14" s="346" t="s">
        <v>28</v>
      </c>
      <c r="AB14" s="32"/>
      <c r="AC14" s="32"/>
      <c r="AD14" s="1"/>
    </row>
    <row r="15">
      <c r="A15" s="1"/>
      <c r="B15" s="34"/>
      <c r="G15" s="35"/>
      <c r="H15" s="1"/>
      <c r="I15" s="34"/>
      <c r="M15" s="35"/>
      <c r="N15" s="1"/>
      <c r="O15" s="350"/>
      <c r="P15" s="30"/>
      <c r="Q15" s="30"/>
      <c r="R15" s="30"/>
      <c r="S15" s="30"/>
      <c r="T15" s="30"/>
      <c r="U15" s="31"/>
      <c r="V15" s="1"/>
      <c r="W15" s="223" t="s">
        <v>303</v>
      </c>
      <c r="X15" s="38"/>
      <c r="Y15" s="39"/>
      <c r="Z15" s="32"/>
      <c r="AA15" s="346" t="s">
        <v>28</v>
      </c>
      <c r="AB15" s="32"/>
      <c r="AC15" s="32"/>
      <c r="AD15" s="1"/>
    </row>
    <row r="16">
      <c r="A16" s="1"/>
      <c r="B16" s="34"/>
      <c r="G16" s="35"/>
      <c r="H16" s="1"/>
      <c r="I16" s="34"/>
      <c r="M16" s="35"/>
      <c r="N16" s="1"/>
      <c r="O16" s="345" t="s">
        <v>290</v>
      </c>
      <c r="P16" s="343"/>
      <c r="Q16" s="38"/>
      <c r="R16" s="38"/>
      <c r="S16" s="38"/>
      <c r="T16" s="38"/>
      <c r="U16" s="39"/>
      <c r="V16" s="1"/>
      <c r="W16" s="223" t="s">
        <v>304</v>
      </c>
      <c r="X16" s="38"/>
      <c r="Y16" s="39"/>
      <c r="Z16" s="32"/>
      <c r="AA16" s="346" t="s">
        <v>28</v>
      </c>
      <c r="AB16" s="32"/>
      <c r="AC16" s="32"/>
      <c r="AD16" s="1"/>
    </row>
    <row r="17">
      <c r="A17" s="1"/>
      <c r="B17" s="34"/>
      <c r="G17" s="35"/>
      <c r="H17" s="1"/>
      <c r="I17" s="34"/>
      <c r="M17" s="35"/>
      <c r="N17" s="1"/>
      <c r="O17" s="345" t="s">
        <v>292</v>
      </c>
      <c r="P17" s="347"/>
      <c r="Q17" s="134"/>
      <c r="R17" s="134"/>
      <c r="S17" s="134"/>
      <c r="T17" s="134"/>
      <c r="U17" s="230"/>
      <c r="V17" s="1"/>
      <c r="W17" s="223" t="s">
        <v>305</v>
      </c>
      <c r="X17" s="38"/>
      <c r="Y17" s="39"/>
      <c r="Z17" s="32"/>
      <c r="AA17" s="346" t="s">
        <v>28</v>
      </c>
      <c r="AB17" s="32"/>
      <c r="AC17" s="32"/>
      <c r="AD17" s="1"/>
    </row>
    <row r="18">
      <c r="A18" s="1"/>
      <c r="B18" s="34"/>
      <c r="G18" s="35"/>
      <c r="H18" s="1"/>
      <c r="I18" s="34"/>
      <c r="M18" s="35"/>
      <c r="N18" s="1"/>
      <c r="O18" s="348"/>
      <c r="P18" s="218"/>
      <c r="Q18" s="218"/>
      <c r="R18" s="218"/>
      <c r="S18" s="218"/>
      <c r="T18" s="218"/>
      <c r="U18" s="349"/>
      <c r="V18" s="1"/>
      <c r="W18" s="223" t="s">
        <v>251</v>
      </c>
      <c r="X18" s="38"/>
      <c r="Y18" s="39"/>
      <c r="Z18" s="346" t="s">
        <v>28</v>
      </c>
      <c r="AA18" s="32"/>
      <c r="AB18" s="32"/>
      <c r="AC18" s="32"/>
      <c r="AD18" s="1"/>
    </row>
    <row r="19">
      <c r="A19" s="1"/>
      <c r="B19" s="34"/>
      <c r="G19" s="35"/>
      <c r="H19" s="1"/>
      <c r="I19" s="34"/>
      <c r="M19" s="35"/>
      <c r="N19" s="1"/>
      <c r="O19" s="350"/>
      <c r="P19" s="30"/>
      <c r="Q19" s="30"/>
      <c r="R19" s="30"/>
      <c r="S19" s="30"/>
      <c r="T19" s="30"/>
      <c r="U19" s="31"/>
      <c r="V19" s="1"/>
      <c r="W19" s="223" t="s">
        <v>256</v>
      </c>
      <c r="X19" s="38"/>
      <c r="Y19" s="39"/>
      <c r="Z19" s="346" t="s">
        <v>28</v>
      </c>
      <c r="AA19" s="32"/>
      <c r="AB19" s="32"/>
      <c r="AC19" s="32"/>
      <c r="AD19" s="1"/>
    </row>
    <row r="20" ht="6.0" customHeight="1">
      <c r="A20" s="1"/>
      <c r="B20" s="34"/>
      <c r="G20" s="35"/>
      <c r="H20" s="1"/>
      <c r="I20" s="34"/>
      <c r="M20" s="35"/>
      <c r="N20" s="1"/>
      <c r="O20" s="1"/>
      <c r="P20" s="1"/>
      <c r="Q20" s="1"/>
      <c r="R20" s="1"/>
      <c r="S20" s="1"/>
      <c r="T20" s="1"/>
      <c r="U20" s="1"/>
      <c r="V20" s="1"/>
      <c r="W20" s="351"/>
      <c r="X20" s="38"/>
      <c r="Y20" s="39"/>
      <c r="Z20" s="351"/>
      <c r="AA20" s="351"/>
      <c r="AB20" s="351"/>
      <c r="AC20" s="351"/>
      <c r="AD20" s="1"/>
    </row>
    <row r="21" ht="15.75" customHeight="1">
      <c r="A21" s="1"/>
      <c r="B21" s="34"/>
      <c r="G21" s="35"/>
      <c r="H21" s="1"/>
      <c r="I21" s="34"/>
      <c r="M21" s="35"/>
      <c r="N21" s="1"/>
      <c r="O21" s="3" t="s">
        <v>306</v>
      </c>
      <c r="P21" s="4"/>
      <c r="Q21" s="4"/>
      <c r="R21" s="4"/>
      <c r="S21" s="4"/>
      <c r="T21" s="4"/>
      <c r="U21" s="5"/>
      <c r="V21" s="1"/>
      <c r="W21" s="223" t="s">
        <v>307</v>
      </c>
      <c r="X21" s="38"/>
      <c r="Y21" s="39"/>
      <c r="Z21" s="346" t="s">
        <v>28</v>
      </c>
      <c r="AA21" s="32"/>
      <c r="AB21" s="32"/>
      <c r="AC21" s="32"/>
      <c r="AD21" s="1"/>
    </row>
    <row r="22" ht="20.25" customHeight="1">
      <c r="A22" s="1"/>
      <c r="B22" s="34"/>
      <c r="G22" s="35"/>
      <c r="H22" s="1"/>
      <c r="I22" s="34"/>
      <c r="M22" s="35"/>
      <c r="N22" s="1"/>
      <c r="O22" s="352" t="s">
        <v>308</v>
      </c>
      <c r="P22" s="38"/>
      <c r="Q22" s="353"/>
      <c r="R22" s="329">
        <f>Generali!X15</f>
        <v>2</v>
      </c>
      <c r="S22" s="39"/>
      <c r="T22" s="354" t="s">
        <v>309</v>
      </c>
      <c r="U22" s="26" t="s">
        <v>310</v>
      </c>
      <c r="V22" s="1"/>
      <c r="W22" s="223" t="s">
        <v>311</v>
      </c>
      <c r="X22" s="38"/>
      <c r="Y22" s="39"/>
      <c r="Z22" s="32"/>
      <c r="AA22" s="346" t="s">
        <v>28</v>
      </c>
      <c r="AB22" s="32"/>
      <c r="AC22" s="32"/>
      <c r="AD22" s="355"/>
    </row>
    <row r="23" ht="20.25" customHeight="1">
      <c r="A23" s="1"/>
      <c r="B23" s="34"/>
      <c r="G23" s="35"/>
      <c r="H23" s="1"/>
      <c r="I23" s="34"/>
      <c r="M23" s="35"/>
      <c r="N23" s="1"/>
      <c r="O23" s="356"/>
      <c r="P23" s="357"/>
      <c r="Q23" s="357"/>
      <c r="R23" s="357"/>
      <c r="S23" s="358"/>
      <c r="T23" s="359" t="s">
        <v>312</v>
      </c>
      <c r="U23" s="360" t="s">
        <v>313</v>
      </c>
      <c r="V23" s="1"/>
      <c r="W23" s="223" t="s">
        <v>314</v>
      </c>
      <c r="X23" s="38"/>
      <c r="Y23" s="39"/>
      <c r="Z23" s="32"/>
      <c r="AA23" s="346" t="s">
        <v>28</v>
      </c>
      <c r="AB23" s="32"/>
      <c r="AC23" s="32"/>
      <c r="AD23" s="355"/>
    </row>
    <row r="24" ht="20.25" customHeight="1">
      <c r="A24" s="1"/>
      <c r="B24" s="34"/>
      <c r="G24" s="35"/>
      <c r="H24" s="1"/>
      <c r="I24" s="34"/>
      <c r="M24" s="35"/>
      <c r="N24" s="1"/>
      <c r="O24" s="361" t="s">
        <v>315</v>
      </c>
      <c r="P24" s="362" t="s">
        <v>316</v>
      </c>
      <c r="Q24" s="363" t="s">
        <v>162</v>
      </c>
      <c r="R24" s="101">
        <f>Generali!X15</f>
        <v>2</v>
      </c>
      <c r="S24" s="364"/>
      <c r="T24" s="359" t="s">
        <v>317</v>
      </c>
      <c r="U24" s="360" t="s">
        <v>318</v>
      </c>
      <c r="V24" s="1"/>
      <c r="W24" s="223" t="s">
        <v>319</v>
      </c>
      <c r="X24" s="38"/>
      <c r="Y24" s="39"/>
      <c r="Z24" s="32"/>
      <c r="AA24" s="346" t="s">
        <v>28</v>
      </c>
      <c r="AB24" s="32"/>
      <c r="AC24" s="32"/>
      <c r="AD24" s="355"/>
    </row>
    <row r="25" ht="20.25" customHeight="1">
      <c r="A25" s="1"/>
      <c r="B25" s="34"/>
      <c r="G25" s="35"/>
      <c r="H25" s="1"/>
      <c r="I25" s="34"/>
      <c r="M25" s="35"/>
      <c r="N25" s="1"/>
      <c r="O25" s="365"/>
      <c r="P25" s="120"/>
      <c r="Q25" s="366"/>
      <c r="R25" s="120"/>
      <c r="S25" s="364"/>
      <c r="T25" s="359" t="s">
        <v>320</v>
      </c>
      <c r="U25" s="360" t="s">
        <v>321</v>
      </c>
      <c r="V25" s="1"/>
      <c r="W25" s="223" t="s">
        <v>322</v>
      </c>
      <c r="X25" s="38"/>
      <c r="Y25" s="39"/>
      <c r="Z25" s="32"/>
      <c r="AA25" s="346" t="s">
        <v>28</v>
      </c>
      <c r="AB25" s="32"/>
      <c r="AC25" s="32"/>
      <c r="AD25" s="355"/>
    </row>
    <row r="26" ht="20.25" customHeight="1">
      <c r="A26" s="1"/>
      <c r="B26" s="34"/>
      <c r="G26" s="35"/>
      <c r="H26" s="1"/>
      <c r="I26" s="34"/>
      <c r="M26" s="35"/>
      <c r="N26" s="1"/>
      <c r="O26" s="367"/>
      <c r="P26" s="368"/>
      <c r="Q26" s="369"/>
      <c r="R26" s="370" t="s">
        <v>323</v>
      </c>
      <c r="S26" s="371"/>
      <c r="T26" s="359" t="s">
        <v>324</v>
      </c>
      <c r="U26" s="360" t="s">
        <v>325</v>
      </c>
      <c r="V26" s="1"/>
      <c r="W26" s="246"/>
      <c r="X26" s="38"/>
      <c r="Y26" s="39"/>
      <c r="Z26" s="32"/>
      <c r="AA26" s="32"/>
      <c r="AB26" s="32"/>
      <c r="AC26" s="32"/>
      <c r="AD26" s="355"/>
    </row>
    <row r="27" ht="20.25" customHeight="1">
      <c r="A27" s="1"/>
      <c r="B27" s="34"/>
      <c r="G27" s="35"/>
      <c r="H27" s="1"/>
      <c r="I27" s="34"/>
      <c r="M27" s="35"/>
      <c r="N27" s="1"/>
      <c r="O27" s="372" t="s">
        <v>326</v>
      </c>
      <c r="P27" s="362">
        <f>3+Generali!X15+R27</f>
        <v>5</v>
      </c>
      <c r="Q27" s="373" t="s">
        <v>162</v>
      </c>
      <c r="R27" s="374"/>
      <c r="S27" s="375"/>
      <c r="T27" s="359" t="s">
        <v>327</v>
      </c>
      <c r="U27" s="360" t="s">
        <v>328</v>
      </c>
      <c r="V27" s="1"/>
      <c r="W27" s="246"/>
      <c r="X27" s="38"/>
      <c r="Y27" s="39"/>
      <c r="Z27" s="32"/>
      <c r="AA27" s="32"/>
      <c r="AB27" s="32"/>
      <c r="AC27" s="32"/>
      <c r="AD27" s="355"/>
    </row>
    <row r="28" ht="20.25" customHeight="1">
      <c r="A28" s="1"/>
      <c r="B28" s="34"/>
      <c r="G28" s="35"/>
      <c r="H28" s="1"/>
      <c r="I28" s="34"/>
      <c r="M28" s="35"/>
      <c r="N28" s="1"/>
      <c r="O28" s="203"/>
      <c r="P28" s="120"/>
      <c r="Q28" s="152"/>
      <c r="R28" s="120"/>
      <c r="S28" s="376"/>
      <c r="T28" s="359" t="s">
        <v>329</v>
      </c>
      <c r="U28" s="360" t="s">
        <v>330</v>
      </c>
      <c r="V28" s="1"/>
      <c r="W28" s="246"/>
      <c r="X28" s="38"/>
      <c r="Y28" s="39"/>
      <c r="Z28" s="32"/>
      <c r="AA28" s="32"/>
      <c r="AB28" s="32"/>
      <c r="AC28" s="32"/>
      <c r="AD28" s="1"/>
    </row>
    <row r="29" ht="20.25" customHeight="1">
      <c r="A29" s="1"/>
      <c r="B29" s="34"/>
      <c r="G29" s="35"/>
      <c r="H29" s="1"/>
      <c r="I29" s="34"/>
      <c r="M29" s="35"/>
      <c r="N29" s="1"/>
      <c r="O29" s="367"/>
      <c r="P29" s="357"/>
      <c r="Q29" s="357"/>
      <c r="R29" s="357"/>
      <c r="S29" s="357"/>
      <c r="T29" s="359" t="s">
        <v>331</v>
      </c>
      <c r="U29" s="360" t="s">
        <v>332</v>
      </c>
      <c r="V29" s="1"/>
      <c r="W29" s="246"/>
      <c r="X29" s="38"/>
      <c r="Y29" s="39"/>
      <c r="Z29" s="32"/>
      <c r="AA29" s="32"/>
      <c r="AB29" s="32"/>
      <c r="AC29" s="32"/>
      <c r="AD29" s="1"/>
    </row>
    <row r="30" ht="20.25" customHeight="1">
      <c r="A30" s="1"/>
      <c r="B30" s="34"/>
      <c r="G30" s="35"/>
      <c r="H30" s="1"/>
      <c r="I30" s="34"/>
      <c r="M30" s="35"/>
      <c r="N30" s="1"/>
      <c r="O30" s="367" t="s">
        <v>196</v>
      </c>
      <c r="P30" s="246"/>
      <c r="Q30" s="38"/>
      <c r="R30" s="38"/>
      <c r="S30" s="39"/>
      <c r="T30" s="359" t="s">
        <v>333</v>
      </c>
      <c r="U30" s="360" t="s">
        <v>334</v>
      </c>
      <c r="V30" s="1"/>
      <c r="W30" s="246"/>
      <c r="X30" s="38"/>
      <c r="Y30" s="39"/>
      <c r="Z30" s="32"/>
      <c r="AA30" s="32"/>
      <c r="AB30" s="32"/>
      <c r="AC30" s="32"/>
      <c r="AD30" s="1"/>
    </row>
    <row r="31" ht="15.75" customHeight="1">
      <c r="A31" s="1"/>
      <c r="B31" s="34"/>
      <c r="G31" s="35"/>
      <c r="H31" s="1"/>
      <c r="I31" s="34"/>
      <c r="M31" s="35"/>
      <c r="N31" s="1"/>
      <c r="O31" s="377"/>
      <c r="P31" s="49"/>
      <c r="Q31" s="49"/>
      <c r="R31" s="49"/>
      <c r="S31" s="50"/>
      <c r="T31" s="378" t="s">
        <v>335</v>
      </c>
      <c r="U31" s="379" t="s">
        <v>336</v>
      </c>
      <c r="V31" s="1"/>
      <c r="W31" s="246"/>
      <c r="X31" s="38"/>
      <c r="Y31" s="39"/>
      <c r="Z31" s="32"/>
      <c r="AA31" s="32"/>
      <c r="AB31" s="32"/>
      <c r="AC31" s="32"/>
      <c r="AD31" s="355"/>
    </row>
    <row r="32" ht="15.75" customHeight="1">
      <c r="A32" s="1"/>
      <c r="B32" s="34"/>
      <c r="G32" s="35"/>
      <c r="H32" s="1"/>
      <c r="I32" s="34"/>
      <c r="M32" s="35"/>
      <c r="N32" s="1"/>
      <c r="O32" s="1"/>
      <c r="P32" s="1"/>
      <c r="Q32" s="1"/>
      <c r="R32" s="1"/>
      <c r="S32" s="1"/>
      <c r="T32" s="380"/>
      <c r="U32" s="380"/>
      <c r="V32" s="1"/>
      <c r="W32" s="246"/>
      <c r="X32" s="38"/>
      <c r="Y32" s="39"/>
      <c r="Z32" s="32"/>
      <c r="AA32" s="32"/>
      <c r="AB32" s="32"/>
      <c r="AC32" s="32"/>
      <c r="AD32" s="1"/>
    </row>
    <row r="33" ht="15.75" customHeight="1">
      <c r="A33" s="1"/>
      <c r="B33" s="34"/>
      <c r="G33" s="35"/>
      <c r="H33" s="1"/>
      <c r="I33" s="34"/>
      <c r="M33" s="35"/>
      <c r="N33" s="1"/>
      <c r="O33" s="381" t="s">
        <v>337</v>
      </c>
      <c r="P33" s="288"/>
      <c r="Q33" s="1"/>
      <c r="R33" s="1"/>
      <c r="S33" s="1"/>
      <c r="T33" s="380"/>
      <c r="U33" s="380"/>
      <c r="V33" s="1"/>
      <c r="W33" s="246"/>
      <c r="X33" s="38"/>
      <c r="Y33" s="39"/>
      <c r="Z33" s="32"/>
      <c r="AA33" s="32"/>
      <c r="AB33" s="32"/>
      <c r="AC33" s="32"/>
      <c r="AD33" s="1"/>
    </row>
    <row r="34" ht="15.75" customHeight="1">
      <c r="A34" s="1"/>
      <c r="B34" s="53"/>
      <c r="C34" s="54"/>
      <c r="D34" s="54"/>
      <c r="E34" s="54"/>
      <c r="F34" s="54"/>
      <c r="G34" s="55"/>
      <c r="H34" s="1"/>
      <c r="I34" s="53"/>
      <c r="J34" s="54"/>
      <c r="K34" s="54"/>
      <c r="L34" s="54"/>
      <c r="M34" s="55"/>
      <c r="N34" s="1"/>
      <c r="O34" s="41" t="s">
        <v>338</v>
      </c>
      <c r="P34" s="75"/>
      <c r="Q34" s="380"/>
      <c r="R34" s="380"/>
      <c r="S34" s="380"/>
      <c r="T34" s="380"/>
      <c r="U34" s="380"/>
      <c r="V34" s="1"/>
      <c r="W34" s="246"/>
      <c r="X34" s="38"/>
      <c r="Y34" s="39"/>
      <c r="Z34" s="32"/>
      <c r="AA34" s="32"/>
      <c r="AB34" s="32"/>
      <c r="AC34" s="32"/>
      <c r="AD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41" t="s">
        <v>339</v>
      </c>
      <c r="P35" s="75"/>
      <c r="Q35" s="1"/>
      <c r="R35" s="1"/>
      <c r="S35" s="1"/>
      <c r="T35" s="1"/>
      <c r="U35" s="1"/>
      <c r="V35" s="1"/>
      <c r="W35" s="246"/>
      <c r="X35" s="38"/>
      <c r="Y35" s="39"/>
      <c r="Z35" s="32"/>
      <c r="AA35" s="32"/>
      <c r="AB35" s="32"/>
      <c r="AC35" s="32"/>
      <c r="AD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48" t="s">
        <v>340</v>
      </c>
      <c r="P36" s="299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15.75" customHeight="1">
      <c r="A38" s="1"/>
      <c r="B38" s="1"/>
      <c r="C38" s="1"/>
      <c r="D38" s="382" t="s">
        <v>341</v>
      </c>
      <c r="E38" s="382" t="s">
        <v>342</v>
      </c>
      <c r="F38" s="382" t="s">
        <v>343</v>
      </c>
      <c r="G38" s="382" t="s">
        <v>344</v>
      </c>
      <c r="H38" s="382" t="s">
        <v>345</v>
      </c>
      <c r="I38" s="383" t="s">
        <v>346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15.75" customHeight="1">
      <c r="A39" s="1"/>
      <c r="B39" s="1"/>
      <c r="C39" s="1"/>
      <c r="D39" s="384" t="s">
        <v>347</v>
      </c>
      <c r="E39" s="385" t="s">
        <v>348</v>
      </c>
      <c r="F39" s="386"/>
      <c r="G39" s="387"/>
      <c r="H39" s="384" t="s">
        <v>349</v>
      </c>
      <c r="I39" s="38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15.75" customHeight="1">
      <c r="A40" s="1"/>
      <c r="B40" s="1"/>
      <c r="C40" s="1"/>
      <c r="D40" s="384" t="s">
        <v>350</v>
      </c>
      <c r="E40" s="385" t="s">
        <v>348</v>
      </c>
      <c r="F40" s="386"/>
      <c r="G40" s="387"/>
      <c r="H40" s="384" t="s">
        <v>351</v>
      </c>
      <c r="I40" s="38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15.75" customHeight="1">
      <c r="A41" s="1"/>
      <c r="B41" s="1"/>
      <c r="C41" s="1"/>
      <c r="D41" s="384" t="s">
        <v>352</v>
      </c>
      <c r="E41" s="385">
        <v>10.0</v>
      </c>
      <c r="F41" s="386"/>
      <c r="G41" s="387"/>
      <c r="H41" s="384" t="s">
        <v>353</v>
      </c>
      <c r="I41" s="38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1"/>
      <c r="B42" s="1"/>
      <c r="C42" s="1"/>
      <c r="D42" s="384" t="s">
        <v>354</v>
      </c>
      <c r="E42" s="385" t="s">
        <v>348</v>
      </c>
      <c r="F42" s="386"/>
      <c r="G42" s="387"/>
      <c r="H42" s="384" t="s">
        <v>355</v>
      </c>
      <c r="I42" s="38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1"/>
      <c r="B43" s="1"/>
      <c r="C43" s="1"/>
      <c r="D43" s="384" t="s">
        <v>356</v>
      </c>
      <c r="E43" s="385" t="s">
        <v>348</v>
      </c>
      <c r="F43" s="386"/>
      <c r="G43" s="387"/>
      <c r="H43" s="384" t="s">
        <v>355</v>
      </c>
      <c r="I43" s="38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1"/>
      <c r="B44" s="1"/>
      <c r="C44" s="1"/>
      <c r="D44" s="384" t="s">
        <v>357</v>
      </c>
      <c r="E44" s="385">
        <v>10.0</v>
      </c>
      <c r="F44" s="386"/>
      <c r="G44" s="387"/>
      <c r="H44" s="384" t="s">
        <v>358</v>
      </c>
      <c r="I44" s="38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384" t="s">
        <v>359</v>
      </c>
      <c r="E45" s="385">
        <v>10.0</v>
      </c>
      <c r="F45" s="386"/>
      <c r="G45" s="387"/>
      <c r="H45" s="384" t="s">
        <v>358</v>
      </c>
      <c r="I45" s="38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384" t="s">
        <v>360</v>
      </c>
      <c r="E46" s="385">
        <v>5.0</v>
      </c>
      <c r="F46" s="386"/>
      <c r="G46" s="387"/>
      <c r="H46" s="384" t="s">
        <v>361</v>
      </c>
      <c r="I46" s="38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384" t="s">
        <v>362</v>
      </c>
      <c r="E47" s="385">
        <v>5.0</v>
      </c>
      <c r="F47" s="386"/>
      <c r="G47" s="387"/>
      <c r="H47" s="384" t="s">
        <v>361</v>
      </c>
      <c r="I47" s="38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384" t="s">
        <v>363</v>
      </c>
      <c r="E48" s="385" t="s">
        <v>348</v>
      </c>
      <c r="F48" s="386"/>
      <c r="G48" s="387"/>
      <c r="H48" s="384" t="s">
        <v>364</v>
      </c>
      <c r="I48" s="38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73">
    <mergeCell ref="P3:U3"/>
    <mergeCell ref="P4:U4"/>
    <mergeCell ref="O6:U6"/>
    <mergeCell ref="W6:Y6"/>
    <mergeCell ref="O7:U7"/>
    <mergeCell ref="W7:Y7"/>
    <mergeCell ref="P8:U8"/>
    <mergeCell ref="W8:Y8"/>
    <mergeCell ref="P9:U9"/>
    <mergeCell ref="W9:Y9"/>
    <mergeCell ref="O10:U10"/>
    <mergeCell ref="W10:Y10"/>
    <mergeCell ref="O11:U11"/>
    <mergeCell ref="W11:Y11"/>
    <mergeCell ref="P12:U12"/>
    <mergeCell ref="W12:Y12"/>
    <mergeCell ref="P13:U13"/>
    <mergeCell ref="W13:Y13"/>
    <mergeCell ref="O14:U14"/>
    <mergeCell ref="W14:Y14"/>
    <mergeCell ref="O15:U15"/>
    <mergeCell ref="W15:Y15"/>
    <mergeCell ref="P16:U16"/>
    <mergeCell ref="W16:Y16"/>
    <mergeCell ref="P17:U17"/>
    <mergeCell ref="W17:Y17"/>
    <mergeCell ref="O18:U18"/>
    <mergeCell ref="W18:Y18"/>
    <mergeCell ref="W20:Y20"/>
    <mergeCell ref="O21:U21"/>
    <mergeCell ref="W21:Y21"/>
    <mergeCell ref="W26:Y26"/>
    <mergeCell ref="O27:O28"/>
    <mergeCell ref="P27:P28"/>
    <mergeCell ref="Q27:Q28"/>
    <mergeCell ref="R27:R28"/>
    <mergeCell ref="W27:Y27"/>
    <mergeCell ref="W28:Y28"/>
    <mergeCell ref="W29:Y29"/>
    <mergeCell ref="P30:S30"/>
    <mergeCell ref="W30:Y30"/>
    <mergeCell ref="O31:S31"/>
    <mergeCell ref="W31:Y31"/>
    <mergeCell ref="W32:Y32"/>
    <mergeCell ref="O33:P33"/>
    <mergeCell ref="W33:Y33"/>
    <mergeCell ref="O34:P34"/>
    <mergeCell ref="W34:Y34"/>
    <mergeCell ref="O35:P35"/>
    <mergeCell ref="W35:Y35"/>
    <mergeCell ref="O36:P36"/>
    <mergeCell ref="B2:G2"/>
    <mergeCell ref="I2:M2"/>
    <mergeCell ref="O2:U2"/>
    <mergeCell ref="W2:AC2"/>
    <mergeCell ref="B3:G34"/>
    <mergeCell ref="I3:M34"/>
    <mergeCell ref="W3:Y3"/>
    <mergeCell ref="W4:Y4"/>
    <mergeCell ref="P5:U5"/>
    <mergeCell ref="W5:Y5"/>
    <mergeCell ref="O19:U19"/>
    <mergeCell ref="W19:Y19"/>
    <mergeCell ref="O22:P22"/>
    <mergeCell ref="R22:S22"/>
    <mergeCell ref="W22:Y22"/>
    <mergeCell ref="W23:Y23"/>
    <mergeCell ref="O24:O25"/>
    <mergeCell ref="P24:P25"/>
    <mergeCell ref="Q24:Q25"/>
    <mergeCell ref="R24:R25"/>
    <mergeCell ref="W24:Y24"/>
    <mergeCell ref="W25:Y25"/>
  </mergeCells>
  <dataValidations>
    <dataValidation type="custom" allowBlank="1" showDropDown="1" sqref="E39:E48">
      <formula1>AND(ISNUMBER(E39),(NOT(OR(NOT(ISERROR(DATEVALUE(E39))), AND(ISNUMBER(E39), LEFT(CELL("format", E39))="D")))))</formula1>
    </dataValidation>
    <dataValidation type="custom" allowBlank="1" showDropDown="1" sqref="G39:G48">
      <formula1>OR(TIMEVALUE(TEXT(G39, "hh:mm:ss"))=G39, AND(ISNUMBER(G39), LEFT(CELL("format", G39))="D"))</formula1>
    </dataValidation>
    <dataValidation type="list" allowBlank="1" sqref="F39:F48">
      <formula1>"0.01.00,0.01.00,0.01.00,0.05.00,0.01.00,0.01.00,0.01.00,0.02.00,0.05.00,0.01.00"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4.88"/>
    <col customWidth="1" min="9" max="9" width="11.0"/>
    <col customWidth="1" min="10" max="62" width="4.88"/>
  </cols>
  <sheetData>
    <row r="1" ht="12.75" customHeight="1"/>
    <row r="2" ht="12.75" customHeight="1">
      <c r="B2" s="68"/>
      <c r="C2" s="389" t="s">
        <v>365</v>
      </c>
      <c r="D2" s="30"/>
      <c r="E2" s="30"/>
      <c r="F2" s="30"/>
      <c r="G2" s="30"/>
      <c r="H2" s="68"/>
      <c r="I2" s="68"/>
      <c r="J2" s="68"/>
      <c r="K2" s="68"/>
      <c r="L2" s="68"/>
      <c r="O2" s="68"/>
      <c r="P2" s="389" t="s">
        <v>366</v>
      </c>
      <c r="Q2" s="30"/>
      <c r="R2" s="30"/>
      <c r="S2" s="30"/>
      <c r="T2" s="30"/>
      <c r="U2" s="68"/>
      <c r="V2" s="68"/>
      <c r="W2" s="68"/>
      <c r="X2" s="68"/>
      <c r="Y2" s="68"/>
      <c r="AB2" s="390" t="str">
        <f>IF(Generali!AR7&gt;0, "HAI " &amp; Generali!AR7 &amp; " LIVELLI NEGATIVI! LEVATI " &amp; Generali!AR7 &amp; " SLOT DAL LIVELLO PIÙ ALTO", ":) Ci piace quando non ci sono livelli negativi eh")</f>
        <v>:) Ci piace quando non ci sono livelli negativi eh</v>
      </c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</row>
    <row r="3" ht="12.75" customHeight="1">
      <c r="B3" s="391" t="s">
        <v>367</v>
      </c>
      <c r="C3" s="392">
        <v>0.0</v>
      </c>
      <c r="D3" s="392">
        <v>1.0</v>
      </c>
      <c r="E3" s="392">
        <v>2.0</v>
      </c>
      <c r="F3" s="392">
        <v>3.0</v>
      </c>
      <c r="G3" s="392">
        <v>4.0</v>
      </c>
      <c r="H3" s="392">
        <v>5.0</v>
      </c>
      <c r="I3" s="392">
        <v>6.0</v>
      </c>
      <c r="J3" s="392">
        <v>7.0</v>
      </c>
      <c r="K3" s="392">
        <v>8.0</v>
      </c>
      <c r="L3" s="392">
        <v>9.0</v>
      </c>
      <c r="N3" s="393"/>
      <c r="O3" s="391" t="s">
        <v>367</v>
      </c>
      <c r="P3" s="392">
        <v>0.0</v>
      </c>
      <c r="Q3" s="392">
        <v>1.0</v>
      </c>
      <c r="R3" s="392">
        <v>2.0</v>
      </c>
      <c r="S3" s="392">
        <v>3.0</v>
      </c>
      <c r="T3" s="392">
        <v>4.0</v>
      </c>
      <c r="U3" s="392">
        <v>5.0</v>
      </c>
      <c r="V3" s="392">
        <v>6.0</v>
      </c>
      <c r="W3" s="392">
        <v>7.0</v>
      </c>
      <c r="X3" s="392">
        <v>8.0</v>
      </c>
      <c r="Y3" s="392">
        <v>9.0</v>
      </c>
      <c r="AI3" s="68"/>
      <c r="AJ3" s="68"/>
      <c r="AK3" s="68"/>
      <c r="AL3" s="68"/>
      <c r="AM3" s="68"/>
      <c r="AN3" s="68"/>
      <c r="AO3" s="68"/>
      <c r="AP3" s="68"/>
      <c r="AQ3" s="68"/>
      <c r="BC3" s="68"/>
      <c r="BD3" s="68"/>
      <c r="BE3" s="68"/>
      <c r="BF3" s="68"/>
      <c r="BG3" s="68"/>
      <c r="BH3" s="68"/>
      <c r="BI3" s="68"/>
      <c r="BJ3" s="68"/>
    </row>
    <row r="4" ht="12.75" customHeight="1">
      <c r="B4" s="391" t="s">
        <v>368</v>
      </c>
      <c r="C4" s="207"/>
      <c r="D4" s="205">
        <v>10.0</v>
      </c>
      <c r="E4" s="207"/>
      <c r="F4" s="207"/>
      <c r="G4" s="207"/>
      <c r="H4" s="207"/>
      <c r="I4" s="207"/>
      <c r="J4" s="207"/>
      <c r="K4" s="207"/>
      <c r="L4" s="207"/>
      <c r="N4" s="393"/>
      <c r="O4" s="391" t="s">
        <v>368</v>
      </c>
      <c r="P4" s="205" t="s">
        <v>369</v>
      </c>
      <c r="Q4" s="205" t="s">
        <v>370</v>
      </c>
      <c r="R4" s="207"/>
      <c r="S4" s="207"/>
      <c r="T4" s="207"/>
      <c r="U4" s="207"/>
      <c r="V4" s="207"/>
      <c r="W4" s="207"/>
      <c r="X4" s="207"/>
      <c r="Y4" s="207"/>
      <c r="AI4" s="68"/>
      <c r="AJ4" s="68"/>
      <c r="AK4" s="68"/>
      <c r="AL4" s="68"/>
      <c r="AM4" s="68"/>
      <c r="AN4" s="68"/>
      <c r="AO4" s="68"/>
      <c r="AP4" s="68"/>
      <c r="AQ4" s="68"/>
    </row>
    <row r="5" ht="12.75" customHeight="1"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394" t="s">
        <v>371</v>
      </c>
      <c r="O5" s="39"/>
      <c r="P5" s="207"/>
      <c r="Q5" s="395"/>
      <c r="R5" s="207"/>
      <c r="S5" s="207"/>
      <c r="T5" s="207"/>
      <c r="U5" s="207"/>
      <c r="V5" s="207"/>
      <c r="W5" s="207"/>
      <c r="X5" s="207"/>
      <c r="Y5" s="207"/>
      <c r="Z5" s="68"/>
      <c r="AA5" s="68"/>
      <c r="AI5" s="68"/>
      <c r="AJ5" s="68"/>
      <c r="AK5" s="68"/>
      <c r="AL5" s="68"/>
      <c r="AM5" s="68"/>
      <c r="AN5" s="68"/>
      <c r="AO5" s="68"/>
      <c r="AP5" s="68"/>
      <c r="AQ5" s="68"/>
    </row>
    <row r="6" ht="12.75" customHeight="1"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</row>
    <row r="7" ht="12.75" customHeight="1">
      <c r="B7" s="391" t="s">
        <v>367</v>
      </c>
      <c r="C7" s="394" t="s">
        <v>372</v>
      </c>
      <c r="D7" s="38"/>
      <c r="E7" s="39"/>
      <c r="F7" s="396" t="s">
        <v>373</v>
      </c>
      <c r="G7" s="394" t="s">
        <v>374</v>
      </c>
      <c r="H7" s="38"/>
      <c r="I7" s="39"/>
      <c r="J7" s="396" t="s">
        <v>373</v>
      </c>
      <c r="K7" s="394" t="s">
        <v>375</v>
      </c>
      <c r="L7" s="38"/>
      <c r="M7" s="39"/>
      <c r="N7" s="396" t="s">
        <v>373</v>
      </c>
      <c r="O7" s="394" t="s">
        <v>376</v>
      </c>
      <c r="P7" s="38"/>
      <c r="Q7" s="39"/>
      <c r="R7" s="396" t="s">
        <v>373</v>
      </c>
      <c r="S7" s="394" t="s">
        <v>377</v>
      </c>
      <c r="T7" s="38"/>
      <c r="U7" s="39"/>
      <c r="V7" s="396" t="s">
        <v>373</v>
      </c>
      <c r="W7" s="394" t="s">
        <v>378</v>
      </c>
      <c r="X7" s="38"/>
      <c r="Y7" s="39"/>
      <c r="Z7" s="396" t="s">
        <v>373</v>
      </c>
      <c r="AA7" s="394" t="s">
        <v>379</v>
      </c>
      <c r="AB7" s="38"/>
      <c r="AC7" s="39"/>
      <c r="AD7" s="396" t="s">
        <v>373</v>
      </c>
      <c r="AE7" s="394" t="s">
        <v>380</v>
      </c>
      <c r="AF7" s="38"/>
      <c r="AG7" s="39"/>
      <c r="AH7" s="396" t="s">
        <v>373</v>
      </c>
      <c r="AI7" s="394" t="s">
        <v>381</v>
      </c>
      <c r="AJ7" s="38"/>
      <c r="AK7" s="39"/>
      <c r="AL7" s="396" t="s">
        <v>373</v>
      </c>
      <c r="AM7" s="394" t="s">
        <v>382</v>
      </c>
      <c r="AN7" s="38"/>
      <c r="AO7" s="39"/>
      <c r="AP7" s="396" t="s">
        <v>373</v>
      </c>
      <c r="AQ7" s="68"/>
    </row>
    <row r="8" ht="12.75" customHeight="1">
      <c r="B8" s="68"/>
      <c r="C8" s="397"/>
      <c r="D8" s="38"/>
      <c r="E8" s="39"/>
      <c r="F8" s="398"/>
      <c r="G8" s="399" t="s">
        <v>351</v>
      </c>
      <c r="H8" s="38"/>
      <c r="I8" s="39"/>
      <c r="J8" s="398"/>
      <c r="K8" s="397"/>
      <c r="L8" s="38"/>
      <c r="M8" s="39"/>
      <c r="N8" s="398"/>
      <c r="O8" s="397"/>
      <c r="P8" s="38"/>
      <c r="Q8" s="39"/>
      <c r="R8" s="398"/>
      <c r="S8" s="397"/>
      <c r="T8" s="38"/>
      <c r="U8" s="39"/>
      <c r="V8" s="398"/>
      <c r="W8" s="397"/>
      <c r="X8" s="38"/>
      <c r="Y8" s="39"/>
      <c r="Z8" s="398"/>
      <c r="AA8" s="397"/>
      <c r="AB8" s="38"/>
      <c r="AC8" s="39"/>
      <c r="AD8" s="398"/>
      <c r="AE8" s="397"/>
      <c r="AF8" s="38"/>
      <c r="AG8" s="39"/>
      <c r="AH8" s="398"/>
      <c r="AI8" s="397"/>
      <c r="AJ8" s="38"/>
      <c r="AK8" s="39"/>
      <c r="AL8" s="398"/>
      <c r="AM8" s="397"/>
      <c r="AN8" s="38"/>
      <c r="AO8" s="39"/>
      <c r="AP8" s="398"/>
      <c r="AQ8" s="68"/>
    </row>
    <row r="9" ht="12.75" customHeight="1">
      <c r="B9" s="68"/>
      <c r="C9" s="397"/>
      <c r="D9" s="38"/>
      <c r="E9" s="39"/>
      <c r="F9" s="398"/>
      <c r="G9" s="399" t="s">
        <v>353</v>
      </c>
      <c r="H9" s="38"/>
      <c r="I9" s="39"/>
      <c r="J9" s="398"/>
      <c r="K9" s="397"/>
      <c r="L9" s="38"/>
      <c r="M9" s="39"/>
      <c r="N9" s="398"/>
      <c r="O9" s="397"/>
      <c r="P9" s="38"/>
      <c r="Q9" s="39"/>
      <c r="R9" s="398"/>
      <c r="S9" s="397"/>
      <c r="T9" s="38"/>
      <c r="U9" s="39"/>
      <c r="V9" s="398"/>
      <c r="W9" s="397"/>
      <c r="X9" s="38"/>
      <c r="Y9" s="39"/>
      <c r="Z9" s="398"/>
      <c r="AA9" s="397"/>
      <c r="AB9" s="38"/>
      <c r="AC9" s="39"/>
      <c r="AD9" s="398"/>
      <c r="AE9" s="397"/>
      <c r="AF9" s="38"/>
      <c r="AG9" s="39"/>
      <c r="AH9" s="398"/>
      <c r="AI9" s="397"/>
      <c r="AJ9" s="38"/>
      <c r="AK9" s="39"/>
      <c r="AL9" s="398"/>
      <c r="AM9" s="397"/>
      <c r="AN9" s="38"/>
      <c r="AO9" s="39"/>
      <c r="AP9" s="398"/>
      <c r="AQ9" s="68"/>
    </row>
    <row r="10" ht="12.75" customHeight="1">
      <c r="B10" s="68"/>
      <c r="C10" s="397"/>
      <c r="D10" s="38"/>
      <c r="E10" s="39"/>
      <c r="F10" s="398"/>
      <c r="G10" s="399" t="s">
        <v>383</v>
      </c>
      <c r="H10" s="38"/>
      <c r="I10" s="39"/>
      <c r="J10" s="398"/>
      <c r="K10" s="397"/>
      <c r="L10" s="38"/>
      <c r="M10" s="39"/>
      <c r="N10" s="398"/>
      <c r="O10" s="397"/>
      <c r="P10" s="38"/>
      <c r="Q10" s="39"/>
      <c r="R10" s="398"/>
      <c r="S10" s="397"/>
      <c r="T10" s="38"/>
      <c r="U10" s="39"/>
      <c r="V10" s="398"/>
      <c r="W10" s="397"/>
      <c r="X10" s="38"/>
      <c r="Y10" s="39"/>
      <c r="Z10" s="398"/>
      <c r="AA10" s="397"/>
      <c r="AB10" s="38"/>
      <c r="AC10" s="39"/>
      <c r="AD10" s="398"/>
      <c r="AE10" s="397"/>
      <c r="AF10" s="38"/>
      <c r="AG10" s="39"/>
      <c r="AH10" s="398"/>
      <c r="AI10" s="397"/>
      <c r="AJ10" s="38"/>
      <c r="AK10" s="39"/>
      <c r="AL10" s="398"/>
      <c r="AM10" s="397"/>
      <c r="AN10" s="38"/>
      <c r="AO10" s="39"/>
      <c r="AP10" s="398"/>
      <c r="AQ10" s="68"/>
    </row>
    <row r="11" ht="12.75" customHeight="1">
      <c r="B11" s="68"/>
      <c r="C11" s="397"/>
      <c r="D11" s="38"/>
      <c r="E11" s="39"/>
      <c r="F11" s="398"/>
      <c r="G11" s="399" t="s">
        <v>358</v>
      </c>
      <c r="H11" s="38"/>
      <c r="I11" s="39"/>
      <c r="J11" s="398"/>
      <c r="K11" s="397"/>
      <c r="L11" s="38"/>
      <c r="M11" s="39"/>
      <c r="N11" s="398"/>
      <c r="O11" s="397"/>
      <c r="P11" s="38"/>
      <c r="Q11" s="39"/>
      <c r="R11" s="398"/>
      <c r="S11" s="397"/>
      <c r="T11" s="38"/>
      <c r="U11" s="39"/>
      <c r="V11" s="398"/>
      <c r="W11" s="397"/>
      <c r="X11" s="38"/>
      <c r="Y11" s="39"/>
      <c r="Z11" s="398"/>
      <c r="AA11" s="397"/>
      <c r="AB11" s="38"/>
      <c r="AC11" s="39"/>
      <c r="AD11" s="398"/>
      <c r="AE11" s="397"/>
      <c r="AF11" s="38"/>
      <c r="AG11" s="39"/>
      <c r="AH11" s="398"/>
      <c r="AI11" s="397"/>
      <c r="AJ11" s="38"/>
      <c r="AK11" s="39"/>
      <c r="AL11" s="398"/>
      <c r="AM11" s="397"/>
      <c r="AN11" s="38"/>
      <c r="AO11" s="39"/>
      <c r="AP11" s="398"/>
      <c r="AQ11" s="68"/>
    </row>
    <row r="12" ht="12.75" customHeight="1">
      <c r="B12" s="68"/>
      <c r="C12" s="397"/>
      <c r="D12" s="38"/>
      <c r="E12" s="39"/>
      <c r="F12" s="398"/>
      <c r="G12" s="399" t="s">
        <v>361</v>
      </c>
      <c r="H12" s="38"/>
      <c r="I12" s="39"/>
      <c r="J12" s="398"/>
      <c r="K12" s="397"/>
      <c r="L12" s="38"/>
      <c r="M12" s="39"/>
      <c r="N12" s="398"/>
      <c r="O12" s="397"/>
      <c r="P12" s="38"/>
      <c r="Q12" s="39"/>
      <c r="R12" s="398"/>
      <c r="S12" s="397"/>
      <c r="T12" s="38"/>
      <c r="U12" s="39"/>
      <c r="V12" s="398"/>
      <c r="W12" s="397"/>
      <c r="X12" s="38"/>
      <c r="Y12" s="39"/>
      <c r="Z12" s="398"/>
      <c r="AA12" s="397"/>
      <c r="AB12" s="38"/>
      <c r="AC12" s="39"/>
      <c r="AD12" s="398"/>
      <c r="AE12" s="397"/>
      <c r="AF12" s="38"/>
      <c r="AG12" s="39"/>
      <c r="AH12" s="398"/>
      <c r="AI12" s="397"/>
      <c r="AJ12" s="38"/>
      <c r="AK12" s="39"/>
      <c r="AL12" s="398"/>
      <c r="AM12" s="397"/>
      <c r="AN12" s="38"/>
      <c r="AO12" s="39"/>
      <c r="AP12" s="398"/>
      <c r="AQ12" s="68"/>
    </row>
    <row r="13" ht="12.75" customHeight="1">
      <c r="B13" s="68"/>
      <c r="C13" s="397"/>
      <c r="D13" s="38"/>
      <c r="E13" s="39"/>
      <c r="F13" s="398"/>
      <c r="G13" s="399" t="s">
        <v>384</v>
      </c>
      <c r="H13" s="38"/>
      <c r="I13" s="39"/>
      <c r="J13" s="400" t="s">
        <v>385</v>
      </c>
      <c r="K13" s="397"/>
      <c r="L13" s="38"/>
      <c r="M13" s="39"/>
      <c r="N13" s="398"/>
      <c r="O13" s="397"/>
      <c r="P13" s="38"/>
      <c r="Q13" s="39"/>
      <c r="R13" s="398"/>
      <c r="S13" s="397"/>
      <c r="T13" s="38"/>
      <c r="U13" s="39"/>
      <c r="V13" s="398"/>
      <c r="W13" s="397"/>
      <c r="X13" s="38"/>
      <c r="Y13" s="39"/>
      <c r="Z13" s="398"/>
      <c r="AA13" s="397"/>
      <c r="AB13" s="38"/>
      <c r="AC13" s="39"/>
      <c r="AD13" s="398"/>
      <c r="AE13" s="397"/>
      <c r="AF13" s="38"/>
      <c r="AG13" s="39"/>
      <c r="AH13" s="398"/>
      <c r="AI13" s="397"/>
      <c r="AJ13" s="38"/>
      <c r="AK13" s="39"/>
      <c r="AL13" s="398"/>
      <c r="AM13" s="397"/>
      <c r="AN13" s="38"/>
      <c r="AO13" s="39"/>
      <c r="AP13" s="398"/>
      <c r="AQ13" s="68"/>
    </row>
    <row r="14" ht="12.75" customHeight="1">
      <c r="B14" s="68"/>
      <c r="C14" s="397"/>
      <c r="D14" s="38"/>
      <c r="E14" s="39"/>
      <c r="F14" s="398"/>
      <c r="G14" s="399" t="s">
        <v>386</v>
      </c>
      <c r="H14" s="38"/>
      <c r="I14" s="39"/>
      <c r="J14" s="400" t="s">
        <v>385</v>
      </c>
      <c r="K14" s="397"/>
      <c r="L14" s="38"/>
      <c r="M14" s="39"/>
      <c r="N14" s="398"/>
      <c r="O14" s="397"/>
      <c r="P14" s="38"/>
      <c r="Q14" s="39"/>
      <c r="R14" s="398"/>
      <c r="S14" s="397"/>
      <c r="T14" s="38"/>
      <c r="U14" s="39"/>
      <c r="V14" s="398"/>
      <c r="W14" s="397"/>
      <c r="X14" s="38"/>
      <c r="Y14" s="39"/>
      <c r="Z14" s="398"/>
      <c r="AA14" s="397"/>
      <c r="AB14" s="38"/>
      <c r="AC14" s="39"/>
      <c r="AD14" s="398"/>
      <c r="AE14" s="397"/>
      <c r="AF14" s="38"/>
      <c r="AG14" s="39"/>
      <c r="AH14" s="398"/>
      <c r="AI14" s="397"/>
      <c r="AJ14" s="38"/>
      <c r="AK14" s="39"/>
      <c r="AL14" s="398"/>
      <c r="AM14" s="397"/>
      <c r="AN14" s="38"/>
      <c r="AO14" s="39"/>
      <c r="AP14" s="398"/>
      <c r="AQ14" s="68"/>
    </row>
    <row r="15" ht="12.75" customHeight="1">
      <c r="B15" s="68"/>
      <c r="C15" s="397"/>
      <c r="D15" s="38"/>
      <c r="E15" s="39"/>
      <c r="F15" s="398"/>
      <c r="G15" s="399" t="s">
        <v>262</v>
      </c>
      <c r="H15" s="38"/>
      <c r="I15" s="39"/>
      <c r="J15" s="398"/>
      <c r="K15" s="397"/>
      <c r="L15" s="38"/>
      <c r="M15" s="39"/>
      <c r="N15" s="398"/>
      <c r="O15" s="397"/>
      <c r="P15" s="38"/>
      <c r="Q15" s="39"/>
      <c r="R15" s="398"/>
      <c r="S15" s="397"/>
      <c r="T15" s="38"/>
      <c r="U15" s="39"/>
      <c r="V15" s="398"/>
      <c r="W15" s="397"/>
      <c r="X15" s="38"/>
      <c r="Y15" s="39"/>
      <c r="Z15" s="398"/>
      <c r="AA15" s="397"/>
      <c r="AB15" s="38"/>
      <c r="AC15" s="39"/>
      <c r="AD15" s="398"/>
      <c r="AE15" s="397"/>
      <c r="AF15" s="38"/>
      <c r="AG15" s="39"/>
      <c r="AH15" s="398"/>
      <c r="AI15" s="397"/>
      <c r="AJ15" s="38"/>
      <c r="AK15" s="39"/>
      <c r="AL15" s="398"/>
      <c r="AM15" s="397"/>
      <c r="AN15" s="38"/>
      <c r="AO15" s="39"/>
      <c r="AP15" s="398"/>
      <c r="AQ15" s="68"/>
    </row>
    <row r="16" ht="12.75" customHeight="1">
      <c r="B16" s="68"/>
      <c r="C16" s="397"/>
      <c r="D16" s="38"/>
      <c r="E16" s="39"/>
      <c r="F16" s="398"/>
      <c r="G16" s="399" t="s">
        <v>387</v>
      </c>
      <c r="H16" s="38"/>
      <c r="I16" s="39"/>
      <c r="J16" s="398"/>
      <c r="K16" s="397"/>
      <c r="L16" s="38"/>
      <c r="M16" s="39"/>
      <c r="N16" s="398"/>
      <c r="O16" s="397"/>
      <c r="P16" s="38"/>
      <c r="Q16" s="39"/>
      <c r="R16" s="398"/>
      <c r="S16" s="397"/>
      <c r="T16" s="38"/>
      <c r="U16" s="39"/>
      <c r="V16" s="398"/>
      <c r="W16" s="397"/>
      <c r="X16" s="38"/>
      <c r="Y16" s="39"/>
      <c r="Z16" s="398"/>
      <c r="AA16" s="397"/>
      <c r="AB16" s="38"/>
      <c r="AC16" s="39"/>
      <c r="AD16" s="398"/>
      <c r="AE16" s="397"/>
      <c r="AF16" s="38"/>
      <c r="AG16" s="39"/>
      <c r="AH16" s="398"/>
      <c r="AI16" s="397"/>
      <c r="AJ16" s="38"/>
      <c r="AK16" s="39"/>
      <c r="AL16" s="398"/>
      <c r="AM16" s="397"/>
      <c r="AN16" s="38"/>
      <c r="AO16" s="39"/>
      <c r="AP16" s="398"/>
      <c r="AQ16" s="68"/>
    </row>
    <row r="17" ht="12.75" customHeight="1">
      <c r="B17" s="68"/>
      <c r="C17" s="397"/>
      <c r="D17" s="38"/>
      <c r="E17" s="39"/>
      <c r="F17" s="398"/>
      <c r="G17" s="399" t="s">
        <v>388</v>
      </c>
      <c r="H17" s="38"/>
      <c r="I17" s="39"/>
      <c r="J17" s="398"/>
      <c r="K17" s="397"/>
      <c r="L17" s="38"/>
      <c r="M17" s="39"/>
      <c r="N17" s="398"/>
      <c r="O17" s="397"/>
      <c r="P17" s="38"/>
      <c r="Q17" s="39"/>
      <c r="R17" s="398"/>
      <c r="S17" s="397"/>
      <c r="T17" s="38"/>
      <c r="U17" s="39"/>
      <c r="V17" s="398"/>
      <c r="W17" s="397"/>
      <c r="X17" s="38"/>
      <c r="Y17" s="39"/>
      <c r="Z17" s="398"/>
      <c r="AA17" s="397"/>
      <c r="AB17" s="38"/>
      <c r="AC17" s="39"/>
      <c r="AD17" s="398"/>
      <c r="AE17" s="397"/>
      <c r="AF17" s="38"/>
      <c r="AG17" s="39"/>
      <c r="AH17" s="398"/>
      <c r="AI17" s="397"/>
      <c r="AJ17" s="38"/>
      <c r="AK17" s="39"/>
      <c r="AL17" s="398"/>
      <c r="AM17" s="397"/>
      <c r="AN17" s="38"/>
      <c r="AO17" s="39"/>
      <c r="AP17" s="398"/>
      <c r="AQ17" s="68"/>
    </row>
    <row r="18" ht="12.75" customHeight="1"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</row>
    <row r="19" ht="12.75" customHeight="1">
      <c r="B19" s="401" t="s">
        <v>389</v>
      </c>
      <c r="C19" s="98"/>
      <c r="D19" s="98"/>
      <c r="E19" s="98"/>
      <c r="F19" s="99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P19" s="68"/>
      <c r="AQ19" s="68"/>
    </row>
    <row r="20" ht="12.75" customHeight="1">
      <c r="B20" s="117"/>
      <c r="C20" s="118"/>
      <c r="D20" s="118"/>
      <c r="E20" s="118"/>
      <c r="F20" s="119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</row>
    <row r="21" ht="12.75" customHeight="1"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</row>
    <row r="22" ht="12.75" customHeight="1"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</row>
    <row r="23" ht="12.75" customHeight="1">
      <c r="B23" s="68"/>
      <c r="C23" s="394" t="s">
        <v>372</v>
      </c>
      <c r="D23" s="38"/>
      <c r="E23" s="39"/>
      <c r="F23" s="394" t="s">
        <v>374</v>
      </c>
      <c r="G23" s="38"/>
      <c r="H23" s="39"/>
      <c r="I23" s="394" t="s">
        <v>375</v>
      </c>
      <c r="J23" s="38"/>
      <c r="K23" s="39"/>
      <c r="L23" s="394" t="s">
        <v>376</v>
      </c>
      <c r="M23" s="38"/>
      <c r="N23" s="39"/>
      <c r="O23" s="394" t="s">
        <v>377</v>
      </c>
      <c r="P23" s="38"/>
      <c r="Q23" s="39"/>
      <c r="R23" s="394" t="s">
        <v>378</v>
      </c>
      <c r="S23" s="38"/>
      <c r="T23" s="39"/>
      <c r="U23" s="394" t="s">
        <v>379</v>
      </c>
      <c r="V23" s="38"/>
      <c r="W23" s="39"/>
      <c r="X23" s="394" t="s">
        <v>380</v>
      </c>
      <c r="Y23" s="38"/>
      <c r="Z23" s="39"/>
      <c r="AA23" s="394" t="s">
        <v>381</v>
      </c>
      <c r="AB23" s="38"/>
      <c r="AC23" s="39"/>
      <c r="AD23" s="394" t="s">
        <v>382</v>
      </c>
      <c r="AE23" s="38"/>
      <c r="AF23" s="39"/>
    </row>
    <row r="24" ht="12.75" customHeight="1">
      <c r="B24" s="68"/>
      <c r="C24" s="399" t="s">
        <v>390</v>
      </c>
      <c r="D24" s="38"/>
      <c r="E24" s="39"/>
      <c r="F24" s="399" t="s">
        <v>383</v>
      </c>
      <c r="G24" s="38"/>
      <c r="H24" s="39"/>
      <c r="I24" s="397"/>
      <c r="J24" s="38"/>
      <c r="K24" s="39"/>
      <c r="L24" s="397"/>
      <c r="M24" s="38"/>
      <c r="N24" s="39"/>
      <c r="O24" s="397"/>
      <c r="P24" s="38"/>
      <c r="Q24" s="39"/>
      <c r="R24" s="397"/>
      <c r="S24" s="38"/>
      <c r="T24" s="39"/>
      <c r="U24" s="397"/>
      <c r="V24" s="38"/>
      <c r="W24" s="39"/>
      <c r="X24" s="397"/>
      <c r="Y24" s="38"/>
      <c r="Z24" s="39"/>
      <c r="AA24" s="397"/>
      <c r="AB24" s="38"/>
      <c r="AC24" s="39"/>
      <c r="AD24" s="397"/>
      <c r="AE24" s="38"/>
      <c r="AF24" s="39"/>
    </row>
    <row r="25" ht="12.75" customHeight="1">
      <c r="B25" s="68"/>
      <c r="C25" s="399" t="s">
        <v>391</v>
      </c>
      <c r="D25" s="38"/>
      <c r="E25" s="39"/>
      <c r="F25" s="399" t="s">
        <v>383</v>
      </c>
      <c r="G25" s="38"/>
      <c r="H25" s="39"/>
      <c r="I25" s="397"/>
      <c r="J25" s="38"/>
      <c r="K25" s="39"/>
      <c r="L25" s="397"/>
      <c r="M25" s="38"/>
      <c r="N25" s="39"/>
      <c r="O25" s="397"/>
      <c r="P25" s="38"/>
      <c r="Q25" s="39"/>
      <c r="R25" s="397"/>
      <c r="S25" s="38"/>
      <c r="T25" s="39"/>
      <c r="U25" s="397"/>
      <c r="V25" s="38"/>
      <c r="W25" s="39"/>
      <c r="X25" s="397"/>
      <c r="Y25" s="38"/>
      <c r="Z25" s="39"/>
      <c r="AA25" s="397"/>
      <c r="AB25" s="38"/>
      <c r="AC25" s="39"/>
      <c r="AD25" s="397"/>
      <c r="AE25" s="38"/>
      <c r="AF25" s="39"/>
    </row>
    <row r="26" ht="12.75" customHeight="1">
      <c r="B26" s="68"/>
      <c r="C26" s="399" t="s">
        <v>349</v>
      </c>
      <c r="D26" s="38"/>
      <c r="E26" s="39"/>
      <c r="F26" s="399" t="s">
        <v>262</v>
      </c>
      <c r="G26" s="38"/>
      <c r="H26" s="39"/>
      <c r="I26" s="397"/>
      <c r="J26" s="38"/>
      <c r="K26" s="39"/>
      <c r="L26" s="397"/>
      <c r="M26" s="38"/>
      <c r="N26" s="39"/>
      <c r="O26" s="397"/>
      <c r="P26" s="38"/>
      <c r="Q26" s="39"/>
      <c r="R26" s="397"/>
      <c r="S26" s="38"/>
      <c r="T26" s="39"/>
      <c r="U26" s="397"/>
      <c r="V26" s="38"/>
      <c r="W26" s="39"/>
      <c r="X26" s="397"/>
      <c r="Y26" s="38"/>
      <c r="Z26" s="39"/>
      <c r="AA26" s="397"/>
      <c r="AB26" s="38"/>
      <c r="AC26" s="39"/>
      <c r="AD26" s="397"/>
      <c r="AE26" s="38"/>
      <c r="AF26" s="39"/>
    </row>
    <row r="27" ht="12.75" customHeight="1">
      <c r="B27" s="68"/>
      <c r="C27" s="399" t="s">
        <v>392</v>
      </c>
      <c r="D27" s="38"/>
      <c r="E27" s="39"/>
      <c r="F27" s="399" t="s">
        <v>351</v>
      </c>
      <c r="G27" s="38"/>
      <c r="H27" s="39"/>
      <c r="I27" s="397"/>
      <c r="J27" s="38"/>
      <c r="K27" s="39"/>
      <c r="L27" s="397"/>
      <c r="M27" s="38"/>
      <c r="N27" s="39"/>
      <c r="O27" s="397"/>
      <c r="P27" s="38"/>
      <c r="Q27" s="39"/>
      <c r="R27" s="397"/>
      <c r="S27" s="38"/>
      <c r="T27" s="39"/>
      <c r="U27" s="397"/>
      <c r="V27" s="38"/>
      <c r="W27" s="39"/>
      <c r="X27" s="397"/>
      <c r="Y27" s="38"/>
      <c r="Z27" s="39"/>
      <c r="AA27" s="397"/>
      <c r="AB27" s="38"/>
      <c r="AC27" s="39"/>
      <c r="AD27" s="397"/>
      <c r="AE27" s="38"/>
      <c r="AF27" s="39"/>
    </row>
    <row r="28" ht="12.75" customHeight="1">
      <c r="B28" s="68"/>
      <c r="C28" s="399" t="s">
        <v>393</v>
      </c>
      <c r="D28" s="38"/>
      <c r="E28" s="39"/>
      <c r="F28" s="397"/>
      <c r="G28" s="38"/>
      <c r="H28" s="39"/>
      <c r="I28" s="397"/>
      <c r="J28" s="38"/>
      <c r="K28" s="39"/>
      <c r="L28" s="397"/>
      <c r="M28" s="38"/>
      <c r="N28" s="39"/>
      <c r="O28" s="397"/>
      <c r="P28" s="38"/>
      <c r="Q28" s="39"/>
      <c r="R28" s="397"/>
      <c r="S28" s="38"/>
      <c r="T28" s="39"/>
      <c r="U28" s="397"/>
      <c r="V28" s="38"/>
      <c r="W28" s="39"/>
      <c r="X28" s="397"/>
      <c r="Y28" s="38"/>
      <c r="Z28" s="39"/>
      <c r="AA28" s="397"/>
      <c r="AB28" s="38"/>
      <c r="AC28" s="39"/>
      <c r="AD28" s="397"/>
      <c r="AE28" s="38"/>
      <c r="AF28" s="39"/>
    </row>
    <row r="29" ht="12.75" customHeight="1">
      <c r="B29" s="68"/>
      <c r="C29" s="397"/>
      <c r="D29" s="38"/>
      <c r="E29" s="39"/>
      <c r="F29" s="397"/>
      <c r="G29" s="38"/>
      <c r="H29" s="39"/>
      <c r="I29" s="397"/>
      <c r="J29" s="38"/>
      <c r="K29" s="39"/>
      <c r="L29" s="397"/>
      <c r="M29" s="38"/>
      <c r="N29" s="39"/>
      <c r="O29" s="397"/>
      <c r="P29" s="38"/>
      <c r="Q29" s="39"/>
      <c r="R29" s="397"/>
      <c r="S29" s="38"/>
      <c r="T29" s="39"/>
      <c r="U29" s="397"/>
      <c r="V29" s="38"/>
      <c r="W29" s="39"/>
      <c r="X29" s="397"/>
      <c r="Y29" s="38"/>
      <c r="Z29" s="39"/>
      <c r="AA29" s="397"/>
      <c r="AB29" s="38"/>
      <c r="AC29" s="39"/>
      <c r="AD29" s="397"/>
      <c r="AE29" s="38"/>
      <c r="AF29" s="39"/>
    </row>
    <row r="30" ht="12.75" customHeight="1">
      <c r="B30" s="68"/>
      <c r="C30" s="397"/>
      <c r="D30" s="38"/>
      <c r="E30" s="39"/>
      <c r="F30" s="397"/>
      <c r="G30" s="38"/>
      <c r="H30" s="39"/>
      <c r="I30" s="397"/>
      <c r="J30" s="38"/>
      <c r="K30" s="39"/>
      <c r="L30" s="397"/>
      <c r="M30" s="38"/>
      <c r="N30" s="39"/>
      <c r="O30" s="397"/>
      <c r="P30" s="38"/>
      <c r="Q30" s="39"/>
      <c r="R30" s="397"/>
      <c r="S30" s="38"/>
      <c r="T30" s="39"/>
      <c r="U30" s="397"/>
      <c r="V30" s="38"/>
      <c r="W30" s="39"/>
      <c r="X30" s="397"/>
      <c r="Y30" s="38"/>
      <c r="Z30" s="39"/>
      <c r="AA30" s="397"/>
      <c r="AB30" s="38"/>
      <c r="AC30" s="39"/>
      <c r="AD30" s="397"/>
      <c r="AE30" s="38"/>
      <c r="AF30" s="39"/>
    </row>
    <row r="31" ht="12.75" customHeight="1">
      <c r="B31" s="68"/>
      <c r="C31" s="397"/>
      <c r="D31" s="38"/>
      <c r="E31" s="39"/>
      <c r="F31" s="397"/>
      <c r="G31" s="38"/>
      <c r="H31" s="39"/>
      <c r="I31" s="397"/>
      <c r="J31" s="38"/>
      <c r="K31" s="39"/>
      <c r="L31" s="397"/>
      <c r="M31" s="38"/>
      <c r="N31" s="39"/>
      <c r="O31" s="397"/>
      <c r="P31" s="38"/>
      <c r="Q31" s="39"/>
      <c r="R31" s="397"/>
      <c r="S31" s="38"/>
      <c r="T31" s="39"/>
      <c r="U31" s="397"/>
      <c r="V31" s="38"/>
      <c r="W31" s="39"/>
      <c r="X31" s="397"/>
      <c r="Y31" s="38"/>
      <c r="Z31" s="39"/>
      <c r="AA31" s="397"/>
      <c r="AB31" s="38"/>
      <c r="AC31" s="39"/>
      <c r="AD31" s="397"/>
      <c r="AE31" s="38"/>
      <c r="AF31" s="39"/>
    </row>
    <row r="32" ht="12.75" customHeight="1">
      <c r="B32" s="68"/>
      <c r="C32" s="397"/>
      <c r="D32" s="38"/>
      <c r="E32" s="39"/>
      <c r="F32" s="397"/>
      <c r="G32" s="38"/>
      <c r="H32" s="39"/>
      <c r="I32" s="397"/>
      <c r="J32" s="38"/>
      <c r="K32" s="39"/>
      <c r="L32" s="397"/>
      <c r="M32" s="38"/>
      <c r="N32" s="39"/>
      <c r="O32" s="397"/>
      <c r="P32" s="38"/>
      <c r="Q32" s="39"/>
      <c r="R32" s="397"/>
      <c r="S32" s="38"/>
      <c r="T32" s="39"/>
      <c r="U32" s="397"/>
      <c r="V32" s="38"/>
      <c r="W32" s="39"/>
      <c r="X32" s="397"/>
      <c r="Y32" s="38"/>
      <c r="Z32" s="39"/>
      <c r="AA32" s="397"/>
      <c r="AB32" s="38"/>
      <c r="AC32" s="39"/>
      <c r="AD32" s="397"/>
      <c r="AE32" s="38"/>
      <c r="AF32" s="39"/>
    </row>
    <row r="33" ht="12.75" customHeight="1">
      <c r="B33" s="68"/>
      <c r="C33" s="397"/>
      <c r="D33" s="38"/>
      <c r="E33" s="39"/>
      <c r="F33" s="397"/>
      <c r="G33" s="38"/>
      <c r="H33" s="39"/>
      <c r="I33" s="397"/>
      <c r="J33" s="38"/>
      <c r="K33" s="39"/>
      <c r="L33" s="397"/>
      <c r="M33" s="38"/>
      <c r="N33" s="39"/>
      <c r="O33" s="397"/>
      <c r="P33" s="38"/>
      <c r="Q33" s="39"/>
      <c r="R33" s="397"/>
      <c r="S33" s="38"/>
      <c r="T33" s="39"/>
      <c r="U33" s="397"/>
      <c r="V33" s="38"/>
      <c r="W33" s="39"/>
      <c r="X33" s="397"/>
      <c r="Y33" s="38"/>
      <c r="Z33" s="39"/>
      <c r="AA33" s="397"/>
      <c r="AB33" s="38"/>
      <c r="AC33" s="39"/>
      <c r="AD33" s="397"/>
      <c r="AE33" s="38"/>
      <c r="AF33" s="39"/>
    </row>
    <row r="34" ht="12.75" customHeight="1"/>
    <row r="35" ht="12.75" customHeight="1"/>
    <row r="36" ht="12.75" customHeight="1">
      <c r="B36" s="68"/>
      <c r="C36" s="389" t="s">
        <v>365</v>
      </c>
      <c r="D36" s="30"/>
      <c r="E36" s="30"/>
      <c r="F36" s="30"/>
      <c r="G36" s="30"/>
      <c r="H36" s="68"/>
      <c r="I36" s="68"/>
      <c r="J36" s="68"/>
      <c r="K36" s="68"/>
      <c r="L36" s="68"/>
      <c r="O36" s="68"/>
      <c r="P36" s="389" t="s">
        <v>366</v>
      </c>
      <c r="Q36" s="30"/>
      <c r="R36" s="30"/>
      <c r="S36" s="30"/>
      <c r="T36" s="30"/>
      <c r="U36" s="68"/>
      <c r="V36" s="68"/>
      <c r="W36" s="68"/>
      <c r="X36" s="68"/>
      <c r="Y36" s="68"/>
      <c r="AI36" s="68"/>
      <c r="AJ36" s="68"/>
      <c r="AK36" s="68"/>
      <c r="AL36" s="68"/>
      <c r="AM36" s="68"/>
      <c r="AN36" s="68"/>
      <c r="AO36" s="68"/>
    </row>
    <row r="37" ht="12.75" customHeight="1">
      <c r="B37" s="402" t="s">
        <v>367</v>
      </c>
      <c r="C37" s="392">
        <v>0.0</v>
      </c>
      <c r="D37" s="392">
        <v>1.0</v>
      </c>
      <c r="E37" s="392">
        <v>2.0</v>
      </c>
      <c r="F37" s="392">
        <v>3.0</v>
      </c>
      <c r="G37" s="392">
        <v>4.0</v>
      </c>
      <c r="H37" s="392">
        <v>5.0</v>
      </c>
      <c r="I37" s="392">
        <v>6.0</v>
      </c>
      <c r="J37" s="392">
        <v>7.0</v>
      </c>
      <c r="K37" s="392">
        <v>8.0</v>
      </c>
      <c r="L37" s="392">
        <v>9.0</v>
      </c>
      <c r="O37" s="402" t="s">
        <v>367</v>
      </c>
      <c r="P37" s="392">
        <v>0.0</v>
      </c>
      <c r="Q37" s="392">
        <v>1.0</v>
      </c>
      <c r="R37" s="392">
        <v>2.0</v>
      </c>
      <c r="S37" s="392">
        <v>3.0</v>
      </c>
      <c r="T37" s="392">
        <v>4.0</v>
      </c>
      <c r="U37" s="392">
        <v>5.0</v>
      </c>
      <c r="V37" s="392">
        <v>6.0</v>
      </c>
      <c r="W37" s="392">
        <v>7.0</v>
      </c>
      <c r="X37" s="392">
        <v>8.0</v>
      </c>
      <c r="Y37" s="392">
        <v>9.0</v>
      </c>
      <c r="AI37" s="68"/>
      <c r="AJ37" s="68"/>
      <c r="AK37" s="68"/>
      <c r="AL37" s="68"/>
      <c r="AM37" s="68"/>
      <c r="AN37" s="68"/>
      <c r="AO37" s="68"/>
    </row>
    <row r="38" ht="12.75" customHeight="1">
      <c r="B38" s="402" t="s">
        <v>368</v>
      </c>
      <c r="C38" s="207"/>
      <c r="D38" s="207"/>
      <c r="E38" s="207"/>
      <c r="F38" s="207"/>
      <c r="G38" s="207"/>
      <c r="H38" s="207"/>
      <c r="I38" s="207"/>
      <c r="J38" s="207"/>
      <c r="K38" s="207"/>
      <c r="L38" s="207"/>
      <c r="O38" s="402" t="s">
        <v>368</v>
      </c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AI38" s="68"/>
      <c r="AJ38" s="68"/>
      <c r="AK38" s="68"/>
      <c r="AL38" s="68"/>
      <c r="AM38" s="68"/>
      <c r="AN38" s="68"/>
      <c r="AO38" s="68"/>
    </row>
    <row r="39" ht="12.75" customHeight="1"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403" t="s">
        <v>371</v>
      </c>
      <c r="O39" s="39"/>
      <c r="P39" s="207"/>
      <c r="Q39" s="395"/>
      <c r="R39" s="207"/>
      <c r="S39" s="207"/>
      <c r="T39" s="207"/>
      <c r="U39" s="207"/>
      <c r="V39" s="207"/>
      <c r="W39" s="207"/>
      <c r="X39" s="207"/>
      <c r="Y39" s="207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</row>
    <row r="40" ht="12.75" customHeight="1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</row>
    <row r="41" ht="12.75" customHeight="1">
      <c r="B41" s="391" t="s">
        <v>367</v>
      </c>
      <c r="C41" s="394" t="s">
        <v>372</v>
      </c>
      <c r="D41" s="38"/>
      <c r="E41" s="39"/>
      <c r="F41" s="396" t="s">
        <v>373</v>
      </c>
      <c r="G41" s="394" t="s">
        <v>374</v>
      </c>
      <c r="H41" s="38"/>
      <c r="I41" s="39"/>
      <c r="J41" s="396" t="s">
        <v>373</v>
      </c>
      <c r="K41" s="394" t="s">
        <v>375</v>
      </c>
      <c r="L41" s="38"/>
      <c r="M41" s="39"/>
      <c r="N41" s="396" t="s">
        <v>373</v>
      </c>
      <c r="O41" s="394" t="s">
        <v>376</v>
      </c>
      <c r="P41" s="38"/>
      <c r="Q41" s="39"/>
      <c r="R41" s="396" t="s">
        <v>373</v>
      </c>
      <c r="S41" s="394" t="s">
        <v>377</v>
      </c>
      <c r="T41" s="38"/>
      <c r="U41" s="39"/>
      <c r="V41" s="396" t="s">
        <v>373</v>
      </c>
      <c r="W41" s="394" t="s">
        <v>378</v>
      </c>
      <c r="X41" s="38"/>
      <c r="Y41" s="39"/>
      <c r="Z41" s="396" t="s">
        <v>373</v>
      </c>
      <c r="AA41" s="394" t="s">
        <v>379</v>
      </c>
      <c r="AB41" s="38"/>
      <c r="AC41" s="39"/>
      <c r="AD41" s="396" t="s">
        <v>373</v>
      </c>
      <c r="AE41" s="394" t="s">
        <v>380</v>
      </c>
      <c r="AF41" s="38"/>
      <c r="AG41" s="39"/>
      <c r="AH41" s="396" t="s">
        <v>373</v>
      </c>
      <c r="AI41" s="394" t="s">
        <v>381</v>
      </c>
      <c r="AJ41" s="38"/>
      <c r="AK41" s="39"/>
      <c r="AL41" s="396" t="s">
        <v>373</v>
      </c>
      <c r="AM41" s="394" t="s">
        <v>382</v>
      </c>
      <c r="AN41" s="38"/>
      <c r="AO41" s="39"/>
      <c r="AP41" s="396" t="s">
        <v>373</v>
      </c>
    </row>
    <row r="42" ht="12.75" customHeight="1">
      <c r="B42" s="68"/>
      <c r="C42" s="397"/>
      <c r="D42" s="38"/>
      <c r="E42" s="39"/>
      <c r="F42" s="398"/>
      <c r="G42" s="397"/>
      <c r="H42" s="38"/>
      <c r="I42" s="39"/>
      <c r="J42" s="398"/>
      <c r="K42" s="397"/>
      <c r="L42" s="38"/>
      <c r="M42" s="39"/>
      <c r="N42" s="398"/>
      <c r="O42" s="397"/>
      <c r="P42" s="38"/>
      <c r="Q42" s="39"/>
      <c r="R42" s="398"/>
      <c r="S42" s="397"/>
      <c r="T42" s="38"/>
      <c r="U42" s="39"/>
      <c r="V42" s="398"/>
      <c r="W42" s="397"/>
      <c r="X42" s="38"/>
      <c r="Y42" s="39"/>
      <c r="Z42" s="398"/>
      <c r="AA42" s="397"/>
      <c r="AB42" s="38"/>
      <c r="AC42" s="39"/>
      <c r="AD42" s="398"/>
      <c r="AE42" s="397"/>
      <c r="AF42" s="38"/>
      <c r="AG42" s="39"/>
      <c r="AH42" s="398"/>
      <c r="AI42" s="397"/>
      <c r="AJ42" s="38"/>
      <c r="AK42" s="39"/>
      <c r="AL42" s="398"/>
      <c r="AM42" s="397"/>
      <c r="AN42" s="38"/>
      <c r="AO42" s="39"/>
      <c r="AP42" s="398"/>
    </row>
    <row r="43" ht="12.75" customHeight="1">
      <c r="B43" s="68"/>
      <c r="C43" s="397"/>
      <c r="D43" s="38"/>
      <c r="E43" s="39"/>
      <c r="F43" s="398"/>
      <c r="G43" s="397"/>
      <c r="H43" s="38"/>
      <c r="I43" s="39"/>
      <c r="J43" s="398"/>
      <c r="K43" s="397"/>
      <c r="L43" s="38"/>
      <c r="M43" s="39"/>
      <c r="N43" s="398"/>
      <c r="O43" s="397"/>
      <c r="P43" s="38"/>
      <c r="Q43" s="39"/>
      <c r="R43" s="398"/>
      <c r="S43" s="397"/>
      <c r="T43" s="38"/>
      <c r="U43" s="39"/>
      <c r="V43" s="398"/>
      <c r="W43" s="397"/>
      <c r="X43" s="38"/>
      <c r="Y43" s="39"/>
      <c r="Z43" s="398"/>
      <c r="AA43" s="397"/>
      <c r="AB43" s="38"/>
      <c r="AC43" s="39"/>
      <c r="AD43" s="398"/>
      <c r="AE43" s="397"/>
      <c r="AF43" s="38"/>
      <c r="AG43" s="39"/>
      <c r="AH43" s="398"/>
      <c r="AI43" s="397"/>
      <c r="AJ43" s="38"/>
      <c r="AK43" s="39"/>
      <c r="AL43" s="398"/>
      <c r="AM43" s="397"/>
      <c r="AN43" s="38"/>
      <c r="AO43" s="39"/>
      <c r="AP43" s="398"/>
    </row>
    <row r="44" ht="12.75" customHeight="1">
      <c r="B44" s="68"/>
      <c r="C44" s="397"/>
      <c r="D44" s="38"/>
      <c r="E44" s="39"/>
      <c r="F44" s="398"/>
      <c r="G44" s="397"/>
      <c r="H44" s="38"/>
      <c r="I44" s="39"/>
      <c r="J44" s="398"/>
      <c r="K44" s="397"/>
      <c r="L44" s="38"/>
      <c r="M44" s="39"/>
      <c r="N44" s="398"/>
      <c r="O44" s="397"/>
      <c r="P44" s="38"/>
      <c r="Q44" s="39"/>
      <c r="R44" s="398"/>
      <c r="S44" s="397"/>
      <c r="T44" s="38"/>
      <c r="U44" s="39"/>
      <c r="V44" s="398"/>
      <c r="W44" s="397"/>
      <c r="X44" s="38"/>
      <c r="Y44" s="39"/>
      <c r="Z44" s="398"/>
      <c r="AA44" s="397"/>
      <c r="AB44" s="38"/>
      <c r="AC44" s="39"/>
      <c r="AD44" s="398"/>
      <c r="AE44" s="397"/>
      <c r="AF44" s="38"/>
      <c r="AG44" s="39"/>
      <c r="AH44" s="398"/>
      <c r="AI44" s="397"/>
      <c r="AJ44" s="38"/>
      <c r="AK44" s="39"/>
      <c r="AL44" s="398"/>
      <c r="AM44" s="397"/>
      <c r="AN44" s="38"/>
      <c r="AO44" s="39"/>
      <c r="AP44" s="398"/>
    </row>
    <row r="45" ht="12.75" customHeight="1">
      <c r="B45" s="68"/>
      <c r="C45" s="397"/>
      <c r="D45" s="38"/>
      <c r="E45" s="39"/>
      <c r="F45" s="398"/>
      <c r="G45" s="397"/>
      <c r="H45" s="38"/>
      <c r="I45" s="39"/>
      <c r="J45" s="398"/>
      <c r="K45" s="397"/>
      <c r="L45" s="38"/>
      <c r="M45" s="39"/>
      <c r="N45" s="398"/>
      <c r="O45" s="397"/>
      <c r="P45" s="38"/>
      <c r="Q45" s="39"/>
      <c r="R45" s="398"/>
      <c r="S45" s="397"/>
      <c r="T45" s="38"/>
      <c r="U45" s="39"/>
      <c r="V45" s="398"/>
      <c r="W45" s="397"/>
      <c r="X45" s="38"/>
      <c r="Y45" s="39"/>
      <c r="Z45" s="398"/>
      <c r="AA45" s="397"/>
      <c r="AB45" s="38"/>
      <c r="AC45" s="39"/>
      <c r="AD45" s="398"/>
      <c r="AE45" s="397"/>
      <c r="AF45" s="38"/>
      <c r="AG45" s="39"/>
      <c r="AH45" s="398"/>
      <c r="AI45" s="397"/>
      <c r="AJ45" s="38"/>
      <c r="AK45" s="39"/>
      <c r="AL45" s="398"/>
      <c r="AM45" s="397"/>
      <c r="AN45" s="38"/>
      <c r="AO45" s="39"/>
      <c r="AP45" s="398"/>
    </row>
    <row r="46" ht="12.75" customHeight="1">
      <c r="B46" s="68"/>
      <c r="C46" s="397"/>
      <c r="D46" s="38"/>
      <c r="E46" s="39"/>
      <c r="F46" s="398"/>
      <c r="G46" s="397"/>
      <c r="H46" s="38"/>
      <c r="I46" s="39"/>
      <c r="J46" s="398"/>
      <c r="K46" s="397"/>
      <c r="L46" s="38"/>
      <c r="M46" s="39"/>
      <c r="N46" s="398"/>
      <c r="O46" s="397"/>
      <c r="P46" s="38"/>
      <c r="Q46" s="39"/>
      <c r="R46" s="398"/>
      <c r="S46" s="397"/>
      <c r="T46" s="38"/>
      <c r="U46" s="39"/>
      <c r="V46" s="398"/>
      <c r="W46" s="397"/>
      <c r="X46" s="38"/>
      <c r="Y46" s="39"/>
      <c r="Z46" s="398"/>
      <c r="AA46" s="397"/>
      <c r="AB46" s="38"/>
      <c r="AC46" s="39"/>
      <c r="AD46" s="398"/>
      <c r="AE46" s="397"/>
      <c r="AF46" s="38"/>
      <c r="AG46" s="39"/>
      <c r="AH46" s="398"/>
      <c r="AI46" s="397"/>
      <c r="AJ46" s="38"/>
      <c r="AK46" s="39"/>
      <c r="AL46" s="398"/>
      <c r="AM46" s="397"/>
      <c r="AN46" s="38"/>
      <c r="AO46" s="39"/>
      <c r="AP46" s="398"/>
    </row>
    <row r="47" ht="12.75" customHeight="1">
      <c r="B47" s="68"/>
      <c r="C47" s="397"/>
      <c r="D47" s="38"/>
      <c r="E47" s="39"/>
      <c r="F47" s="398"/>
      <c r="G47" s="397"/>
      <c r="H47" s="38"/>
      <c r="I47" s="39"/>
      <c r="J47" s="398"/>
      <c r="K47" s="397"/>
      <c r="L47" s="38"/>
      <c r="M47" s="39"/>
      <c r="N47" s="398"/>
      <c r="O47" s="397"/>
      <c r="P47" s="38"/>
      <c r="Q47" s="39"/>
      <c r="R47" s="398"/>
      <c r="S47" s="397"/>
      <c r="T47" s="38"/>
      <c r="U47" s="39"/>
      <c r="V47" s="398"/>
      <c r="W47" s="397"/>
      <c r="X47" s="38"/>
      <c r="Y47" s="39"/>
      <c r="Z47" s="398"/>
      <c r="AA47" s="397"/>
      <c r="AB47" s="38"/>
      <c r="AC47" s="39"/>
      <c r="AD47" s="398"/>
      <c r="AE47" s="397"/>
      <c r="AF47" s="38"/>
      <c r="AG47" s="39"/>
      <c r="AH47" s="398"/>
      <c r="AI47" s="397"/>
      <c r="AJ47" s="38"/>
      <c r="AK47" s="39"/>
      <c r="AL47" s="398"/>
      <c r="AM47" s="397"/>
      <c r="AN47" s="38"/>
      <c r="AO47" s="39"/>
      <c r="AP47" s="398"/>
    </row>
    <row r="48" ht="12.75" customHeight="1">
      <c r="B48" s="68"/>
      <c r="C48" s="397"/>
      <c r="D48" s="38"/>
      <c r="E48" s="39"/>
      <c r="F48" s="398"/>
      <c r="G48" s="397"/>
      <c r="H48" s="38"/>
      <c r="I48" s="39"/>
      <c r="J48" s="398"/>
      <c r="K48" s="397"/>
      <c r="L48" s="38"/>
      <c r="M48" s="39"/>
      <c r="N48" s="398"/>
      <c r="O48" s="397"/>
      <c r="P48" s="38"/>
      <c r="Q48" s="39"/>
      <c r="R48" s="398"/>
      <c r="S48" s="397"/>
      <c r="T48" s="38"/>
      <c r="U48" s="39"/>
      <c r="V48" s="398"/>
      <c r="W48" s="397"/>
      <c r="X48" s="38"/>
      <c r="Y48" s="39"/>
      <c r="Z48" s="398"/>
      <c r="AA48" s="397"/>
      <c r="AB48" s="38"/>
      <c r="AC48" s="39"/>
      <c r="AD48" s="398"/>
      <c r="AE48" s="397"/>
      <c r="AF48" s="38"/>
      <c r="AG48" s="39"/>
      <c r="AH48" s="398"/>
      <c r="AI48" s="397"/>
      <c r="AJ48" s="38"/>
      <c r="AK48" s="39"/>
      <c r="AL48" s="398"/>
      <c r="AM48" s="397"/>
      <c r="AN48" s="38"/>
      <c r="AO48" s="39"/>
      <c r="AP48" s="398"/>
    </row>
    <row r="49" ht="12.75" customHeight="1">
      <c r="B49" s="68"/>
      <c r="C49" s="397"/>
      <c r="D49" s="38"/>
      <c r="E49" s="39"/>
      <c r="F49" s="398"/>
      <c r="G49" s="397"/>
      <c r="H49" s="38"/>
      <c r="I49" s="39"/>
      <c r="J49" s="398"/>
      <c r="K49" s="397"/>
      <c r="L49" s="38"/>
      <c r="M49" s="39"/>
      <c r="N49" s="398"/>
      <c r="O49" s="397"/>
      <c r="P49" s="38"/>
      <c r="Q49" s="39"/>
      <c r="R49" s="398"/>
      <c r="S49" s="397"/>
      <c r="T49" s="38"/>
      <c r="U49" s="39"/>
      <c r="V49" s="398"/>
      <c r="W49" s="397"/>
      <c r="X49" s="38"/>
      <c r="Y49" s="39"/>
      <c r="Z49" s="398"/>
      <c r="AA49" s="397"/>
      <c r="AB49" s="38"/>
      <c r="AC49" s="39"/>
      <c r="AD49" s="398"/>
      <c r="AE49" s="397"/>
      <c r="AF49" s="38"/>
      <c r="AG49" s="39"/>
      <c r="AH49" s="398"/>
      <c r="AI49" s="397"/>
      <c r="AJ49" s="38"/>
      <c r="AK49" s="39"/>
      <c r="AL49" s="398"/>
      <c r="AM49" s="397"/>
      <c r="AN49" s="38"/>
      <c r="AO49" s="39"/>
      <c r="AP49" s="398"/>
    </row>
    <row r="50" ht="12.75" customHeight="1">
      <c r="B50" s="68"/>
      <c r="C50" s="397"/>
      <c r="D50" s="38"/>
      <c r="E50" s="39"/>
      <c r="F50" s="398"/>
      <c r="G50" s="397"/>
      <c r="H50" s="38"/>
      <c r="I50" s="39"/>
      <c r="J50" s="398"/>
      <c r="K50" s="397"/>
      <c r="L50" s="38"/>
      <c r="M50" s="39"/>
      <c r="N50" s="398"/>
      <c r="O50" s="397"/>
      <c r="P50" s="38"/>
      <c r="Q50" s="39"/>
      <c r="R50" s="398"/>
      <c r="S50" s="397"/>
      <c r="T50" s="38"/>
      <c r="U50" s="39"/>
      <c r="V50" s="398"/>
      <c r="W50" s="397"/>
      <c r="X50" s="38"/>
      <c r="Y50" s="39"/>
      <c r="Z50" s="398"/>
      <c r="AA50" s="397"/>
      <c r="AB50" s="38"/>
      <c r="AC50" s="39"/>
      <c r="AD50" s="398"/>
      <c r="AE50" s="397"/>
      <c r="AF50" s="38"/>
      <c r="AG50" s="39"/>
      <c r="AH50" s="398"/>
      <c r="AI50" s="397"/>
      <c r="AJ50" s="38"/>
      <c r="AK50" s="39"/>
      <c r="AL50" s="398"/>
      <c r="AM50" s="397"/>
      <c r="AN50" s="38"/>
      <c r="AO50" s="39"/>
      <c r="AP50" s="398"/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8"/>
    </row>
    <row r="51" ht="12.75" customHeight="1">
      <c r="B51" s="68"/>
      <c r="C51" s="397"/>
      <c r="D51" s="38"/>
      <c r="E51" s="39"/>
      <c r="F51" s="398"/>
      <c r="G51" s="397"/>
      <c r="H51" s="38"/>
      <c r="I51" s="39"/>
      <c r="J51" s="398"/>
      <c r="K51" s="397"/>
      <c r="L51" s="38"/>
      <c r="M51" s="39"/>
      <c r="N51" s="398"/>
      <c r="O51" s="397"/>
      <c r="P51" s="38"/>
      <c r="Q51" s="39"/>
      <c r="R51" s="398"/>
      <c r="S51" s="397"/>
      <c r="T51" s="38"/>
      <c r="U51" s="39"/>
      <c r="V51" s="398"/>
      <c r="W51" s="397"/>
      <c r="X51" s="38"/>
      <c r="Y51" s="39"/>
      <c r="Z51" s="398"/>
      <c r="AA51" s="397"/>
      <c r="AB51" s="38"/>
      <c r="AC51" s="39"/>
      <c r="AD51" s="398"/>
      <c r="AE51" s="397"/>
      <c r="AF51" s="38"/>
      <c r="AG51" s="39"/>
      <c r="AH51" s="398"/>
      <c r="AI51" s="397"/>
      <c r="AJ51" s="38"/>
      <c r="AK51" s="39"/>
      <c r="AL51" s="398"/>
      <c r="AM51" s="397"/>
      <c r="AN51" s="38"/>
      <c r="AO51" s="39"/>
      <c r="AP51" s="398"/>
    </row>
    <row r="52" ht="12.75" customHeight="1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</row>
    <row r="53" ht="12.75" customHeight="1"/>
    <row r="54" ht="12.75" customHeight="1">
      <c r="B54" s="401" t="s">
        <v>389</v>
      </c>
      <c r="C54" s="98"/>
      <c r="D54" s="98"/>
      <c r="E54" s="98"/>
      <c r="F54" s="99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</row>
    <row r="55" ht="12.75" customHeight="1">
      <c r="B55" s="117"/>
      <c r="C55" s="118"/>
      <c r="D55" s="118"/>
      <c r="E55" s="118"/>
      <c r="F55" s="119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</row>
    <row r="56" ht="12.75" customHeight="1"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</row>
    <row r="57" ht="12.75" customHeight="1"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</row>
    <row r="58" ht="12.75" customHeight="1">
      <c r="B58" s="68"/>
      <c r="C58" s="404" t="s">
        <v>372</v>
      </c>
      <c r="D58" s="38"/>
      <c r="E58" s="39"/>
      <c r="F58" s="404" t="s">
        <v>374</v>
      </c>
      <c r="G58" s="38"/>
      <c r="H58" s="39"/>
      <c r="I58" s="404" t="s">
        <v>375</v>
      </c>
      <c r="J58" s="38"/>
      <c r="K58" s="39"/>
      <c r="L58" s="404" t="s">
        <v>376</v>
      </c>
      <c r="M58" s="38"/>
      <c r="N58" s="39"/>
      <c r="O58" s="404" t="s">
        <v>377</v>
      </c>
      <c r="P58" s="38"/>
      <c r="Q58" s="39"/>
      <c r="R58" s="404" t="s">
        <v>378</v>
      </c>
      <c r="S58" s="38"/>
      <c r="T58" s="39"/>
      <c r="U58" s="404" t="s">
        <v>379</v>
      </c>
      <c r="V58" s="38"/>
      <c r="W58" s="39"/>
      <c r="X58" s="404" t="s">
        <v>380</v>
      </c>
      <c r="Y58" s="38"/>
      <c r="Z58" s="39"/>
      <c r="AA58" s="404" t="s">
        <v>381</v>
      </c>
      <c r="AB58" s="38"/>
      <c r="AC58" s="39"/>
      <c r="AD58" s="404" t="s">
        <v>382</v>
      </c>
      <c r="AE58" s="38"/>
      <c r="AF58" s="39"/>
    </row>
    <row r="59" ht="12.75" customHeight="1">
      <c r="B59" s="68"/>
      <c r="C59" s="397"/>
      <c r="D59" s="38"/>
      <c r="E59" s="39"/>
      <c r="F59" s="397"/>
      <c r="G59" s="38"/>
      <c r="H59" s="39"/>
      <c r="I59" s="397"/>
      <c r="J59" s="38"/>
      <c r="K59" s="39"/>
      <c r="L59" s="397"/>
      <c r="M59" s="38"/>
      <c r="N59" s="39"/>
      <c r="O59" s="397"/>
      <c r="P59" s="38"/>
      <c r="Q59" s="39"/>
      <c r="R59" s="397"/>
      <c r="S59" s="38"/>
      <c r="T59" s="39"/>
      <c r="U59" s="397"/>
      <c r="V59" s="38"/>
      <c r="W59" s="39"/>
      <c r="X59" s="397"/>
      <c r="Y59" s="38"/>
      <c r="Z59" s="39"/>
      <c r="AA59" s="397"/>
      <c r="AB59" s="38"/>
      <c r="AC59" s="39"/>
      <c r="AD59" s="397"/>
      <c r="AE59" s="38"/>
      <c r="AF59" s="39"/>
    </row>
    <row r="60" ht="12.75" customHeight="1">
      <c r="B60" s="68"/>
      <c r="C60" s="397"/>
      <c r="D60" s="38"/>
      <c r="E60" s="39"/>
      <c r="F60" s="397"/>
      <c r="G60" s="38"/>
      <c r="H60" s="39"/>
      <c r="I60" s="397"/>
      <c r="J60" s="38"/>
      <c r="K60" s="39"/>
      <c r="L60" s="397"/>
      <c r="M60" s="38"/>
      <c r="N60" s="39"/>
      <c r="O60" s="397"/>
      <c r="P60" s="38"/>
      <c r="Q60" s="39"/>
      <c r="R60" s="397"/>
      <c r="S60" s="38"/>
      <c r="T60" s="39"/>
      <c r="U60" s="397"/>
      <c r="V60" s="38"/>
      <c r="W60" s="39"/>
      <c r="X60" s="397"/>
      <c r="Y60" s="38"/>
      <c r="Z60" s="39"/>
      <c r="AA60" s="397"/>
      <c r="AB60" s="38"/>
      <c r="AC60" s="39"/>
      <c r="AD60" s="397"/>
      <c r="AE60" s="38"/>
      <c r="AF60" s="39"/>
    </row>
    <row r="61" ht="12.75" customHeight="1">
      <c r="B61" s="68"/>
      <c r="C61" s="397"/>
      <c r="D61" s="38"/>
      <c r="E61" s="39"/>
      <c r="F61" s="397"/>
      <c r="G61" s="38"/>
      <c r="H61" s="39"/>
      <c r="I61" s="397"/>
      <c r="J61" s="38"/>
      <c r="K61" s="39"/>
      <c r="L61" s="397"/>
      <c r="M61" s="38"/>
      <c r="N61" s="39"/>
      <c r="O61" s="397"/>
      <c r="P61" s="38"/>
      <c r="Q61" s="39"/>
      <c r="R61" s="397"/>
      <c r="S61" s="38"/>
      <c r="T61" s="39"/>
      <c r="U61" s="397"/>
      <c r="V61" s="38"/>
      <c r="W61" s="39"/>
      <c r="X61" s="397"/>
      <c r="Y61" s="38"/>
      <c r="Z61" s="39"/>
      <c r="AA61" s="397"/>
      <c r="AB61" s="38"/>
      <c r="AC61" s="39"/>
      <c r="AD61" s="397"/>
      <c r="AE61" s="38"/>
      <c r="AF61" s="39"/>
    </row>
    <row r="62" ht="12.75" customHeight="1">
      <c r="B62" s="68"/>
      <c r="C62" s="397"/>
      <c r="D62" s="38"/>
      <c r="E62" s="39"/>
      <c r="F62" s="397"/>
      <c r="G62" s="38"/>
      <c r="H62" s="39"/>
      <c r="I62" s="397"/>
      <c r="J62" s="38"/>
      <c r="K62" s="39"/>
      <c r="L62" s="397"/>
      <c r="M62" s="38"/>
      <c r="N62" s="39"/>
      <c r="O62" s="397"/>
      <c r="P62" s="38"/>
      <c r="Q62" s="39"/>
      <c r="R62" s="397"/>
      <c r="S62" s="38"/>
      <c r="T62" s="39"/>
      <c r="U62" s="397"/>
      <c r="V62" s="38"/>
      <c r="W62" s="39"/>
      <c r="X62" s="397"/>
      <c r="Y62" s="38"/>
      <c r="Z62" s="39"/>
      <c r="AA62" s="397"/>
      <c r="AB62" s="38"/>
      <c r="AC62" s="39"/>
      <c r="AD62" s="397"/>
      <c r="AE62" s="38"/>
      <c r="AF62" s="39"/>
    </row>
    <row r="63" ht="12.75" customHeight="1">
      <c r="B63" s="68"/>
      <c r="C63" s="397"/>
      <c r="D63" s="38"/>
      <c r="E63" s="39"/>
      <c r="F63" s="397"/>
      <c r="G63" s="38"/>
      <c r="H63" s="39"/>
      <c r="I63" s="397"/>
      <c r="J63" s="38"/>
      <c r="K63" s="39"/>
      <c r="L63" s="397"/>
      <c r="M63" s="38"/>
      <c r="N63" s="39"/>
      <c r="O63" s="397"/>
      <c r="P63" s="38"/>
      <c r="Q63" s="39"/>
      <c r="R63" s="397"/>
      <c r="S63" s="38"/>
      <c r="T63" s="39"/>
      <c r="U63" s="397"/>
      <c r="V63" s="38"/>
      <c r="W63" s="39"/>
      <c r="X63" s="397"/>
      <c r="Y63" s="38"/>
      <c r="Z63" s="39"/>
      <c r="AA63" s="397"/>
      <c r="AB63" s="38"/>
      <c r="AC63" s="39"/>
      <c r="AD63" s="397"/>
      <c r="AE63" s="38"/>
      <c r="AF63" s="39"/>
    </row>
    <row r="64" ht="12.75" customHeight="1">
      <c r="B64" s="68"/>
      <c r="C64" s="397"/>
      <c r="D64" s="38"/>
      <c r="E64" s="39"/>
      <c r="F64" s="397"/>
      <c r="G64" s="38"/>
      <c r="H64" s="39"/>
      <c r="I64" s="397"/>
      <c r="J64" s="38"/>
      <c r="K64" s="39"/>
      <c r="L64" s="397"/>
      <c r="M64" s="38"/>
      <c r="N64" s="39"/>
      <c r="O64" s="397"/>
      <c r="P64" s="38"/>
      <c r="Q64" s="39"/>
      <c r="R64" s="397"/>
      <c r="S64" s="38"/>
      <c r="T64" s="39"/>
      <c r="U64" s="397"/>
      <c r="V64" s="38"/>
      <c r="W64" s="39"/>
      <c r="X64" s="397"/>
      <c r="Y64" s="38"/>
      <c r="Z64" s="39"/>
      <c r="AA64" s="397"/>
      <c r="AB64" s="38"/>
      <c r="AC64" s="39"/>
      <c r="AD64" s="397"/>
      <c r="AE64" s="38"/>
      <c r="AF64" s="39"/>
    </row>
    <row r="65" ht="12.75" customHeight="1">
      <c r="B65" s="68"/>
      <c r="C65" s="397"/>
      <c r="D65" s="38"/>
      <c r="E65" s="39"/>
      <c r="F65" s="397"/>
      <c r="G65" s="38"/>
      <c r="H65" s="39"/>
      <c r="I65" s="397"/>
      <c r="J65" s="38"/>
      <c r="K65" s="39"/>
      <c r="L65" s="397"/>
      <c r="M65" s="38"/>
      <c r="N65" s="39"/>
      <c r="O65" s="397"/>
      <c r="P65" s="38"/>
      <c r="Q65" s="39"/>
      <c r="R65" s="397"/>
      <c r="S65" s="38"/>
      <c r="T65" s="39"/>
      <c r="U65" s="397"/>
      <c r="V65" s="38"/>
      <c r="W65" s="39"/>
      <c r="X65" s="397"/>
      <c r="Y65" s="38"/>
      <c r="Z65" s="39"/>
      <c r="AA65" s="397"/>
      <c r="AB65" s="38"/>
      <c r="AC65" s="39"/>
      <c r="AD65" s="397"/>
      <c r="AE65" s="38"/>
      <c r="AF65" s="39"/>
    </row>
    <row r="66" ht="12.75" customHeight="1">
      <c r="B66" s="68"/>
      <c r="C66" s="397"/>
      <c r="D66" s="38"/>
      <c r="E66" s="39"/>
      <c r="F66" s="397"/>
      <c r="G66" s="38"/>
      <c r="H66" s="39"/>
      <c r="I66" s="397"/>
      <c r="J66" s="38"/>
      <c r="K66" s="39"/>
      <c r="L66" s="397"/>
      <c r="M66" s="38"/>
      <c r="N66" s="39"/>
      <c r="O66" s="397"/>
      <c r="P66" s="38"/>
      <c r="Q66" s="39"/>
      <c r="R66" s="397"/>
      <c r="S66" s="38"/>
      <c r="T66" s="39"/>
      <c r="U66" s="397"/>
      <c r="V66" s="38"/>
      <c r="W66" s="39"/>
      <c r="X66" s="397"/>
      <c r="Y66" s="38"/>
      <c r="Z66" s="39"/>
      <c r="AA66" s="397"/>
      <c r="AB66" s="38"/>
      <c r="AC66" s="39"/>
      <c r="AD66" s="397"/>
      <c r="AE66" s="38"/>
      <c r="AF66" s="39"/>
    </row>
    <row r="67" ht="12.75" customHeight="1">
      <c r="B67" s="68"/>
      <c r="C67" s="397"/>
      <c r="D67" s="38"/>
      <c r="E67" s="39"/>
      <c r="F67" s="397"/>
      <c r="G67" s="38"/>
      <c r="H67" s="39"/>
      <c r="I67" s="397"/>
      <c r="J67" s="38"/>
      <c r="K67" s="39"/>
      <c r="L67" s="397"/>
      <c r="M67" s="38"/>
      <c r="N67" s="39"/>
      <c r="O67" s="397"/>
      <c r="P67" s="38"/>
      <c r="Q67" s="39"/>
      <c r="R67" s="397"/>
      <c r="S67" s="38"/>
      <c r="T67" s="39"/>
      <c r="U67" s="397"/>
      <c r="V67" s="38"/>
      <c r="W67" s="39"/>
      <c r="X67" s="397"/>
      <c r="Y67" s="38"/>
      <c r="Z67" s="39"/>
      <c r="AA67" s="397"/>
      <c r="AB67" s="38"/>
      <c r="AC67" s="39"/>
      <c r="AD67" s="397"/>
      <c r="AE67" s="38"/>
      <c r="AF67" s="39"/>
    </row>
    <row r="68" ht="12.75" customHeight="1">
      <c r="B68" s="68"/>
      <c r="C68" s="397"/>
      <c r="D68" s="38"/>
      <c r="E68" s="39"/>
      <c r="F68" s="397"/>
      <c r="G68" s="38"/>
      <c r="H68" s="39"/>
      <c r="I68" s="397"/>
      <c r="J68" s="38"/>
      <c r="K68" s="39"/>
      <c r="L68" s="397"/>
      <c r="M68" s="38"/>
      <c r="N68" s="39"/>
      <c r="O68" s="397"/>
      <c r="P68" s="38"/>
      <c r="Q68" s="39"/>
      <c r="R68" s="397"/>
      <c r="S68" s="38"/>
      <c r="T68" s="39"/>
      <c r="U68" s="397"/>
      <c r="V68" s="38"/>
      <c r="W68" s="39"/>
      <c r="X68" s="397"/>
      <c r="Y68" s="38"/>
      <c r="Z68" s="39"/>
      <c r="AA68" s="397"/>
      <c r="AB68" s="38"/>
      <c r="AC68" s="39"/>
      <c r="AD68" s="397"/>
      <c r="AE68" s="38"/>
      <c r="AF68" s="39"/>
    </row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49">
    <mergeCell ref="W7:Y7"/>
    <mergeCell ref="AA7:AC7"/>
    <mergeCell ref="AI7:AK7"/>
    <mergeCell ref="AM7:AO7"/>
    <mergeCell ref="C2:G2"/>
    <mergeCell ref="P2:T2"/>
    <mergeCell ref="AB2:AH5"/>
    <mergeCell ref="N5:O5"/>
    <mergeCell ref="C7:E7"/>
    <mergeCell ref="G7:I7"/>
    <mergeCell ref="K7:M7"/>
    <mergeCell ref="AE7:AG7"/>
    <mergeCell ref="W8:Y8"/>
    <mergeCell ref="AA8:AC8"/>
    <mergeCell ref="AE8:AG8"/>
    <mergeCell ref="AI8:AK8"/>
    <mergeCell ref="AM8:AO8"/>
    <mergeCell ref="S9:U9"/>
    <mergeCell ref="W9:Y9"/>
    <mergeCell ref="AA9:AC9"/>
    <mergeCell ref="AE9:AG9"/>
    <mergeCell ref="AI9:AK9"/>
    <mergeCell ref="AM9:AO9"/>
    <mergeCell ref="AI10:AK10"/>
    <mergeCell ref="AM10:AO10"/>
    <mergeCell ref="O8:Q8"/>
    <mergeCell ref="O9:Q9"/>
    <mergeCell ref="O10:Q10"/>
    <mergeCell ref="S10:U10"/>
    <mergeCell ref="W10:Y10"/>
    <mergeCell ref="AA10:AC10"/>
    <mergeCell ref="AE10:AG10"/>
    <mergeCell ref="K11:M11"/>
    <mergeCell ref="O11:Q11"/>
    <mergeCell ref="W11:Y11"/>
    <mergeCell ref="AA11:AC11"/>
    <mergeCell ref="AE11:AG11"/>
    <mergeCell ref="AI11:AK11"/>
    <mergeCell ref="AM11:AO11"/>
    <mergeCell ref="O7:Q7"/>
    <mergeCell ref="S7:U7"/>
    <mergeCell ref="C8:E8"/>
    <mergeCell ref="K8:M8"/>
    <mergeCell ref="S8:U8"/>
    <mergeCell ref="C9:E9"/>
    <mergeCell ref="K9:M9"/>
    <mergeCell ref="G8:I8"/>
    <mergeCell ref="G9:I9"/>
    <mergeCell ref="C10:E10"/>
    <mergeCell ref="G10:I10"/>
    <mergeCell ref="K10:M10"/>
    <mergeCell ref="G11:I11"/>
    <mergeCell ref="S11:U11"/>
    <mergeCell ref="AA12:AC12"/>
    <mergeCell ref="AE12:AG12"/>
    <mergeCell ref="AI12:AK12"/>
    <mergeCell ref="AM12:AO12"/>
    <mergeCell ref="W12:Y12"/>
    <mergeCell ref="W13:Y13"/>
    <mergeCell ref="AA13:AC13"/>
    <mergeCell ref="AE13:AG13"/>
    <mergeCell ref="AI13:AK13"/>
    <mergeCell ref="AM13:AO13"/>
    <mergeCell ref="AI14:AK14"/>
    <mergeCell ref="AM14:AO14"/>
    <mergeCell ref="O12:Q12"/>
    <mergeCell ref="O13:Q13"/>
    <mergeCell ref="O14:Q14"/>
    <mergeCell ref="S14:U14"/>
    <mergeCell ref="W14:Y14"/>
    <mergeCell ref="AA14:AC14"/>
    <mergeCell ref="AE14:AG14"/>
    <mergeCell ref="K15:M15"/>
    <mergeCell ref="O15:Q15"/>
    <mergeCell ref="W15:Y15"/>
    <mergeCell ref="AA15:AC15"/>
    <mergeCell ref="AE15:AG15"/>
    <mergeCell ref="AI15:AK15"/>
    <mergeCell ref="AM15:AO15"/>
    <mergeCell ref="C11:E11"/>
    <mergeCell ref="C12:E12"/>
    <mergeCell ref="K12:M12"/>
    <mergeCell ref="S12:U12"/>
    <mergeCell ref="C13:E13"/>
    <mergeCell ref="K13:M13"/>
    <mergeCell ref="S13:U13"/>
    <mergeCell ref="G12:I12"/>
    <mergeCell ref="G13:I13"/>
    <mergeCell ref="C14:E14"/>
    <mergeCell ref="G14:I14"/>
    <mergeCell ref="K14:M14"/>
    <mergeCell ref="G15:I15"/>
    <mergeCell ref="S15:U15"/>
    <mergeCell ref="AA16:AC16"/>
    <mergeCell ref="AE16:AG16"/>
    <mergeCell ref="AI16:AK16"/>
    <mergeCell ref="AM16:AO16"/>
    <mergeCell ref="O16:Q16"/>
    <mergeCell ref="O17:Q17"/>
    <mergeCell ref="O23:Q23"/>
    <mergeCell ref="R23:T23"/>
    <mergeCell ref="U23:W23"/>
    <mergeCell ref="X23:Z23"/>
    <mergeCell ref="AA23:AC23"/>
    <mergeCell ref="AD23:AF23"/>
    <mergeCell ref="W16:Y16"/>
    <mergeCell ref="W17:Y17"/>
    <mergeCell ref="AA17:AC17"/>
    <mergeCell ref="AE17:AG17"/>
    <mergeCell ref="AI17:AK17"/>
    <mergeCell ref="AM17:AO17"/>
    <mergeCell ref="C15:E15"/>
    <mergeCell ref="C16:E16"/>
    <mergeCell ref="K16:M16"/>
    <mergeCell ref="S16:U16"/>
    <mergeCell ref="C17:E17"/>
    <mergeCell ref="K17:M17"/>
    <mergeCell ref="S17:U17"/>
    <mergeCell ref="G16:I16"/>
    <mergeCell ref="G17:I17"/>
    <mergeCell ref="B19:F20"/>
    <mergeCell ref="C23:E23"/>
    <mergeCell ref="F23:H23"/>
    <mergeCell ref="I23:K23"/>
    <mergeCell ref="L23:N23"/>
    <mergeCell ref="X27:Z27"/>
    <mergeCell ref="AA27:AC27"/>
    <mergeCell ref="AD27:AF27"/>
    <mergeCell ref="C27:E27"/>
    <mergeCell ref="F27:H27"/>
    <mergeCell ref="I27:K27"/>
    <mergeCell ref="L27:N27"/>
    <mergeCell ref="O27:Q27"/>
    <mergeCell ref="R27:T27"/>
    <mergeCell ref="U27:W27"/>
    <mergeCell ref="X28:Z28"/>
    <mergeCell ref="AA28:AC28"/>
    <mergeCell ref="AD28:AF28"/>
    <mergeCell ref="C28:E28"/>
    <mergeCell ref="F28:H28"/>
    <mergeCell ref="I28:K28"/>
    <mergeCell ref="L28:N28"/>
    <mergeCell ref="O28:Q28"/>
    <mergeCell ref="R28:T28"/>
    <mergeCell ref="U28:W28"/>
    <mergeCell ref="X29:Z29"/>
    <mergeCell ref="AA29:AC29"/>
    <mergeCell ref="AD29:AF29"/>
    <mergeCell ref="C29:E29"/>
    <mergeCell ref="F29:H29"/>
    <mergeCell ref="I29:K29"/>
    <mergeCell ref="L29:N29"/>
    <mergeCell ref="O29:Q29"/>
    <mergeCell ref="R29:T29"/>
    <mergeCell ref="U29:W29"/>
    <mergeCell ref="X30:Z30"/>
    <mergeCell ref="AA30:AC30"/>
    <mergeCell ref="AD30:AF30"/>
    <mergeCell ref="C30:E30"/>
    <mergeCell ref="F30:H30"/>
    <mergeCell ref="I30:K30"/>
    <mergeCell ref="L30:N30"/>
    <mergeCell ref="O30:Q30"/>
    <mergeCell ref="R30:T30"/>
    <mergeCell ref="U30:W30"/>
    <mergeCell ref="X31:Z31"/>
    <mergeCell ref="AA31:AC31"/>
    <mergeCell ref="AD31:AF31"/>
    <mergeCell ref="C31:E31"/>
    <mergeCell ref="F31:H31"/>
    <mergeCell ref="I31:K31"/>
    <mergeCell ref="L31:N31"/>
    <mergeCell ref="O31:Q31"/>
    <mergeCell ref="R31:T31"/>
    <mergeCell ref="U31:W31"/>
    <mergeCell ref="X32:Z32"/>
    <mergeCell ref="AA32:AC32"/>
    <mergeCell ref="AD32:AF32"/>
    <mergeCell ref="C32:E32"/>
    <mergeCell ref="F32:H32"/>
    <mergeCell ref="I32:K32"/>
    <mergeCell ref="L32:N32"/>
    <mergeCell ref="O32:Q32"/>
    <mergeCell ref="R32:T32"/>
    <mergeCell ref="U32:W32"/>
    <mergeCell ref="X33:Z33"/>
    <mergeCell ref="AA33:AC33"/>
    <mergeCell ref="AD33:AF33"/>
    <mergeCell ref="C33:E33"/>
    <mergeCell ref="F33:H33"/>
    <mergeCell ref="I33:K33"/>
    <mergeCell ref="L33:N33"/>
    <mergeCell ref="O33:Q33"/>
    <mergeCell ref="R33:T33"/>
    <mergeCell ref="U33:W33"/>
    <mergeCell ref="X24:Z24"/>
    <mergeCell ref="AA24:AC24"/>
    <mergeCell ref="AD24:AF24"/>
    <mergeCell ref="C24:E24"/>
    <mergeCell ref="F24:H24"/>
    <mergeCell ref="I24:K24"/>
    <mergeCell ref="L24:N24"/>
    <mergeCell ref="O24:Q24"/>
    <mergeCell ref="R24:T24"/>
    <mergeCell ref="U24:W24"/>
    <mergeCell ref="X25:Z25"/>
    <mergeCell ref="AA25:AC25"/>
    <mergeCell ref="AD25:AF25"/>
    <mergeCell ref="C25:E25"/>
    <mergeCell ref="F25:H25"/>
    <mergeCell ref="I25:K25"/>
    <mergeCell ref="L25:N25"/>
    <mergeCell ref="O25:Q25"/>
    <mergeCell ref="R25:T25"/>
    <mergeCell ref="U25:W25"/>
    <mergeCell ref="X26:Z26"/>
    <mergeCell ref="AA26:AC26"/>
    <mergeCell ref="AD26:AF26"/>
    <mergeCell ref="C26:E26"/>
    <mergeCell ref="F26:H26"/>
    <mergeCell ref="I26:K26"/>
    <mergeCell ref="L26:N26"/>
    <mergeCell ref="O26:Q26"/>
    <mergeCell ref="R26:T26"/>
    <mergeCell ref="U26:W26"/>
    <mergeCell ref="S41:U41"/>
    <mergeCell ref="W41:Y41"/>
    <mergeCell ref="AA41:AC41"/>
    <mergeCell ref="AE41:AG41"/>
    <mergeCell ref="AI41:AK41"/>
    <mergeCell ref="AM41:AO41"/>
    <mergeCell ref="O41:Q41"/>
    <mergeCell ref="O42:Q42"/>
    <mergeCell ref="W42:Y42"/>
    <mergeCell ref="AA42:AC42"/>
    <mergeCell ref="AE42:AG42"/>
    <mergeCell ref="AI42:AK42"/>
    <mergeCell ref="AM42:AO42"/>
    <mergeCell ref="C36:G36"/>
    <mergeCell ref="P36:T36"/>
    <mergeCell ref="N39:O39"/>
    <mergeCell ref="C41:E41"/>
    <mergeCell ref="K41:M41"/>
    <mergeCell ref="C42:E42"/>
    <mergeCell ref="K42:M42"/>
    <mergeCell ref="S42:U42"/>
    <mergeCell ref="W43:Y43"/>
    <mergeCell ref="AA43:AC43"/>
    <mergeCell ref="AE43:AG43"/>
    <mergeCell ref="AI43:AK43"/>
    <mergeCell ref="AM43:AO43"/>
    <mergeCell ref="S44:U44"/>
    <mergeCell ref="W44:Y44"/>
    <mergeCell ref="AA44:AC44"/>
    <mergeCell ref="AE44:AG44"/>
    <mergeCell ref="AI44:AK44"/>
    <mergeCell ref="AM44:AO44"/>
    <mergeCell ref="AI45:AK45"/>
    <mergeCell ref="AM45:AO45"/>
    <mergeCell ref="O43:Q43"/>
    <mergeCell ref="O44:Q44"/>
    <mergeCell ref="O45:Q45"/>
    <mergeCell ref="S45:U45"/>
    <mergeCell ref="W45:Y45"/>
    <mergeCell ref="AA45:AC45"/>
    <mergeCell ref="AE45:AG45"/>
    <mergeCell ref="K46:M46"/>
    <mergeCell ref="O46:Q46"/>
    <mergeCell ref="W46:Y46"/>
    <mergeCell ref="AA46:AC46"/>
    <mergeCell ref="AE46:AG46"/>
    <mergeCell ref="AI46:AK46"/>
    <mergeCell ref="AM46:AO46"/>
    <mergeCell ref="X59:Z59"/>
    <mergeCell ref="AA59:AC59"/>
    <mergeCell ref="AD59:AF59"/>
    <mergeCell ref="C59:E59"/>
    <mergeCell ref="F59:H59"/>
    <mergeCell ref="I59:K59"/>
    <mergeCell ref="L59:N59"/>
    <mergeCell ref="O59:Q59"/>
    <mergeCell ref="R59:T59"/>
    <mergeCell ref="U59:W59"/>
    <mergeCell ref="X60:Z60"/>
    <mergeCell ref="AA60:AC60"/>
    <mergeCell ref="AD60:AF60"/>
    <mergeCell ref="C60:E60"/>
    <mergeCell ref="F60:H60"/>
    <mergeCell ref="I60:K60"/>
    <mergeCell ref="L60:N60"/>
    <mergeCell ref="O60:Q60"/>
    <mergeCell ref="R60:T60"/>
    <mergeCell ref="U60:W60"/>
    <mergeCell ref="G41:I41"/>
    <mergeCell ref="G42:I42"/>
    <mergeCell ref="C43:E43"/>
    <mergeCell ref="K43:M43"/>
    <mergeCell ref="S43:U43"/>
    <mergeCell ref="C44:E44"/>
    <mergeCell ref="K44:M44"/>
    <mergeCell ref="G43:I43"/>
    <mergeCell ref="G44:I44"/>
    <mergeCell ref="C45:E45"/>
    <mergeCell ref="G45:I45"/>
    <mergeCell ref="K45:M45"/>
    <mergeCell ref="G46:I46"/>
    <mergeCell ref="S46:U46"/>
    <mergeCell ref="AA47:AC47"/>
    <mergeCell ref="AE47:AG47"/>
    <mergeCell ref="AI47:AK47"/>
    <mergeCell ref="AM47:AO47"/>
    <mergeCell ref="W47:Y47"/>
    <mergeCell ref="W48:Y48"/>
    <mergeCell ref="AA48:AC48"/>
    <mergeCell ref="AE48:AG48"/>
    <mergeCell ref="AI48:AK48"/>
    <mergeCell ref="AM48:AO48"/>
    <mergeCell ref="AI49:AK49"/>
    <mergeCell ref="AM49:AO49"/>
    <mergeCell ref="O47:Q47"/>
    <mergeCell ref="O48:Q48"/>
    <mergeCell ref="O49:Q49"/>
    <mergeCell ref="S49:U49"/>
    <mergeCell ref="W49:Y49"/>
    <mergeCell ref="AA49:AC49"/>
    <mergeCell ref="AE49:AG49"/>
    <mergeCell ref="K50:M50"/>
    <mergeCell ref="O50:Q50"/>
    <mergeCell ref="W50:Y50"/>
    <mergeCell ref="AA50:AC50"/>
    <mergeCell ref="AE50:AG50"/>
    <mergeCell ref="AI50:AK50"/>
    <mergeCell ref="AM50:AO50"/>
    <mergeCell ref="C46:E46"/>
    <mergeCell ref="C47:E47"/>
    <mergeCell ref="K47:M47"/>
    <mergeCell ref="S47:U47"/>
    <mergeCell ref="C48:E48"/>
    <mergeCell ref="K48:M48"/>
    <mergeCell ref="S48:U48"/>
    <mergeCell ref="G47:I47"/>
    <mergeCell ref="G48:I48"/>
    <mergeCell ref="C49:E49"/>
    <mergeCell ref="G49:I49"/>
    <mergeCell ref="K49:M49"/>
    <mergeCell ref="G50:I50"/>
    <mergeCell ref="S50:U50"/>
    <mergeCell ref="AA51:AC51"/>
    <mergeCell ref="AE51:AG51"/>
    <mergeCell ref="AI51:AK51"/>
    <mergeCell ref="AM51:AO51"/>
    <mergeCell ref="C50:E50"/>
    <mergeCell ref="C51:E51"/>
    <mergeCell ref="G51:I51"/>
    <mergeCell ref="K51:M51"/>
    <mergeCell ref="O51:Q51"/>
    <mergeCell ref="S51:U51"/>
    <mergeCell ref="W51:Y51"/>
    <mergeCell ref="U58:W58"/>
    <mergeCell ref="X58:Z58"/>
    <mergeCell ref="AA58:AC58"/>
    <mergeCell ref="AD58:AF58"/>
    <mergeCell ref="B54:F55"/>
    <mergeCell ref="C58:E58"/>
    <mergeCell ref="F58:H58"/>
    <mergeCell ref="I58:K58"/>
    <mergeCell ref="L58:N58"/>
    <mergeCell ref="O58:Q58"/>
    <mergeCell ref="R58:T58"/>
    <mergeCell ref="X68:Z68"/>
    <mergeCell ref="AA68:AC68"/>
    <mergeCell ref="AD68:AF68"/>
    <mergeCell ref="C68:E68"/>
    <mergeCell ref="F68:H68"/>
    <mergeCell ref="I68:K68"/>
    <mergeCell ref="L68:N68"/>
    <mergeCell ref="O68:Q68"/>
    <mergeCell ref="R68:T68"/>
    <mergeCell ref="U68:W68"/>
    <mergeCell ref="X61:Z61"/>
    <mergeCell ref="AA61:AC61"/>
    <mergeCell ref="AD61:AF61"/>
    <mergeCell ref="C61:E61"/>
    <mergeCell ref="F61:H61"/>
    <mergeCell ref="I61:K61"/>
    <mergeCell ref="L61:N61"/>
    <mergeCell ref="O61:Q61"/>
    <mergeCell ref="R61:T61"/>
    <mergeCell ref="U61:W61"/>
    <mergeCell ref="X62:Z62"/>
    <mergeCell ref="AA62:AC62"/>
    <mergeCell ref="AD62:AF62"/>
    <mergeCell ref="C62:E62"/>
    <mergeCell ref="F62:H62"/>
    <mergeCell ref="I62:K62"/>
    <mergeCell ref="L62:N62"/>
    <mergeCell ref="O62:Q62"/>
    <mergeCell ref="R62:T62"/>
    <mergeCell ref="U62:W62"/>
    <mergeCell ref="X63:Z63"/>
    <mergeCell ref="AA63:AC63"/>
    <mergeCell ref="AD63:AF63"/>
    <mergeCell ref="C63:E63"/>
    <mergeCell ref="F63:H63"/>
    <mergeCell ref="I63:K63"/>
    <mergeCell ref="L63:N63"/>
    <mergeCell ref="O63:Q63"/>
    <mergeCell ref="R63:T63"/>
    <mergeCell ref="U63:W63"/>
    <mergeCell ref="X64:Z64"/>
    <mergeCell ref="AA64:AC64"/>
    <mergeCell ref="AD64:AF64"/>
    <mergeCell ref="C64:E64"/>
    <mergeCell ref="F64:H64"/>
    <mergeCell ref="I64:K64"/>
    <mergeCell ref="L64:N64"/>
    <mergeCell ref="O64:Q64"/>
    <mergeCell ref="R64:T64"/>
    <mergeCell ref="U64:W64"/>
    <mergeCell ref="X65:Z65"/>
    <mergeCell ref="AA65:AC65"/>
    <mergeCell ref="AD65:AF65"/>
    <mergeCell ref="C65:E65"/>
    <mergeCell ref="F65:H65"/>
    <mergeCell ref="I65:K65"/>
    <mergeCell ref="L65:N65"/>
    <mergeCell ref="O65:Q65"/>
    <mergeCell ref="R65:T65"/>
    <mergeCell ref="U65:W65"/>
    <mergeCell ref="X66:Z66"/>
    <mergeCell ref="AA66:AC66"/>
    <mergeCell ref="AD66:AF66"/>
    <mergeCell ref="C66:E66"/>
    <mergeCell ref="F66:H66"/>
    <mergeCell ref="I66:K66"/>
    <mergeCell ref="L66:N66"/>
    <mergeCell ref="O66:Q66"/>
    <mergeCell ref="R66:T66"/>
    <mergeCell ref="U66:W66"/>
    <mergeCell ref="X67:Z67"/>
    <mergeCell ref="AA67:AC67"/>
    <mergeCell ref="AD67:AF67"/>
    <mergeCell ref="C67:E67"/>
    <mergeCell ref="F67:H67"/>
    <mergeCell ref="I67:K67"/>
    <mergeCell ref="L67:N67"/>
    <mergeCell ref="O67:Q67"/>
    <mergeCell ref="R67:T67"/>
    <mergeCell ref="U67:W6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25"/>
    <col customWidth="1" min="2" max="2" width="19.63"/>
  </cols>
  <sheetData>
    <row r="1">
      <c r="A1" s="405" t="s">
        <v>394</v>
      </c>
      <c r="B1" s="405" t="s">
        <v>395</v>
      </c>
    </row>
    <row r="2">
      <c r="A2" s="406">
        <v>1.0</v>
      </c>
      <c r="B2" s="406">
        <v>0.0</v>
      </c>
    </row>
    <row r="3">
      <c r="A3" s="406">
        <v>2.0</v>
      </c>
      <c r="B3" s="405">
        <v>1000.0</v>
      </c>
    </row>
    <row r="4">
      <c r="A4" s="406">
        <v>3.0</v>
      </c>
      <c r="B4" s="405">
        <v>3000.0</v>
      </c>
    </row>
    <row r="5">
      <c r="A5" s="406">
        <v>4.0</v>
      </c>
      <c r="B5" s="405">
        <v>6000.0</v>
      </c>
    </row>
    <row r="6">
      <c r="A6" s="406">
        <v>5.0</v>
      </c>
      <c r="B6" s="405">
        <v>10000.0</v>
      </c>
    </row>
    <row r="7">
      <c r="A7" s="406">
        <v>6.0</v>
      </c>
      <c r="B7" s="405">
        <v>15000.0</v>
      </c>
    </row>
    <row r="8">
      <c r="A8" s="406">
        <v>7.0</v>
      </c>
      <c r="B8" s="405">
        <v>21000.0</v>
      </c>
    </row>
    <row r="9">
      <c r="A9" s="406">
        <v>8.0</v>
      </c>
      <c r="B9" s="406">
        <v>28000.0</v>
      </c>
    </row>
    <row r="10">
      <c r="A10" s="406">
        <v>9.0</v>
      </c>
      <c r="B10" s="406">
        <v>36000.0</v>
      </c>
    </row>
    <row r="11">
      <c r="A11" s="406">
        <v>10.0</v>
      </c>
      <c r="B11" s="406">
        <v>45000.0</v>
      </c>
    </row>
    <row r="12">
      <c r="A12" s="406">
        <v>11.0</v>
      </c>
      <c r="B12" s="406">
        <v>55000.0</v>
      </c>
    </row>
    <row r="13">
      <c r="A13" s="406">
        <v>12.0</v>
      </c>
      <c r="B13" s="406">
        <v>66000.0</v>
      </c>
    </row>
    <row r="14">
      <c r="A14" s="406">
        <v>13.0</v>
      </c>
      <c r="B14" s="406">
        <v>78000.0</v>
      </c>
    </row>
    <row r="15">
      <c r="A15" s="406">
        <v>14.0</v>
      </c>
      <c r="B15" s="406">
        <v>91000.0</v>
      </c>
    </row>
    <row r="16">
      <c r="A16" s="406">
        <v>15.0</v>
      </c>
      <c r="B16" s="406">
        <v>105000.0</v>
      </c>
    </row>
    <row r="17">
      <c r="A17" s="406">
        <v>16.0</v>
      </c>
      <c r="B17" s="406">
        <v>120000.0</v>
      </c>
    </row>
    <row r="18">
      <c r="A18" s="406">
        <v>17.0</v>
      </c>
      <c r="B18" s="406">
        <v>136000.0</v>
      </c>
    </row>
    <row r="19">
      <c r="A19" s="406">
        <v>18.0</v>
      </c>
      <c r="B19" s="406">
        <v>153000.0</v>
      </c>
    </row>
    <row r="20">
      <c r="A20" s="406">
        <v>19.0</v>
      </c>
      <c r="B20" s="406">
        <v>171000.0</v>
      </c>
    </row>
    <row r="21">
      <c r="A21" s="406">
        <v>20.0</v>
      </c>
      <c r="B21" s="406">
        <v>190000.0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2024-09-01T08:56:36Z</dcterms:created>
  <dc:creator>Valentina Cherubini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0x010100520D36B918C66E4080786A0BE144A6DA</vt:lpwstr>
  </property>
</Properties>
</file>